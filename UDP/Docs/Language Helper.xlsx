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\source\repos\UDP\Docs\"/>
    </mc:Choice>
  </mc:AlternateContent>
  <xr:revisionPtr revIDLastSave="0" documentId="13_ncr:1_{A8FE2395-670E-42FC-A722-ACA45A049AC8}" xr6:coauthVersionLast="40" xr6:coauthVersionMax="40" xr10:uidLastSave="{00000000-0000-0000-0000-000000000000}"/>
  <bookViews>
    <workbookView xWindow="0" yWindow="0" windowWidth="23451" windowHeight="11023" activeTab="1" xr2:uid="{868BC71E-0932-43EF-AD8C-4EF6D27C5B63}"/>
  </bookViews>
  <sheets>
    <sheet name="English" sheetId="1" r:id="rId1"/>
    <sheet name="Germ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3" i="2"/>
  <c r="H2" i="2" l="1"/>
  <c r="H1" i="2"/>
  <c r="G61" i="2"/>
  <c r="E61" i="2"/>
  <c r="D61" i="2"/>
  <c r="B61" i="2"/>
  <c r="A61" i="2"/>
  <c r="G60" i="2"/>
  <c r="E60" i="2"/>
  <c r="D60" i="2"/>
  <c r="B60" i="2"/>
  <c r="A60" i="2"/>
  <c r="G59" i="2"/>
  <c r="E59" i="2"/>
  <c r="D59" i="2"/>
  <c r="B59" i="2"/>
  <c r="A59" i="2"/>
  <c r="G58" i="2"/>
  <c r="E58" i="2"/>
  <c r="D58" i="2"/>
  <c r="B58" i="2"/>
  <c r="A58" i="2"/>
  <c r="G57" i="2"/>
  <c r="E57" i="2"/>
  <c r="D57" i="2"/>
  <c r="B57" i="2"/>
  <c r="A57" i="2"/>
  <c r="G56" i="2"/>
  <c r="E56" i="2"/>
  <c r="D56" i="2"/>
  <c r="B56" i="2"/>
  <c r="A56" i="2"/>
  <c r="G55" i="2"/>
  <c r="E55" i="2"/>
  <c r="D55" i="2"/>
  <c r="B55" i="2"/>
  <c r="A55" i="2"/>
  <c r="G54" i="2"/>
  <c r="E54" i="2"/>
  <c r="D54" i="2"/>
  <c r="B54" i="2"/>
  <c r="A54" i="2"/>
  <c r="G53" i="2"/>
  <c r="E53" i="2"/>
  <c r="D53" i="2"/>
  <c r="B53" i="2"/>
  <c r="A53" i="2"/>
  <c r="G52" i="2"/>
  <c r="E52" i="2"/>
  <c r="D52" i="2"/>
  <c r="B52" i="2"/>
  <c r="A52" i="2"/>
  <c r="G51" i="2"/>
  <c r="E51" i="2"/>
  <c r="D51" i="2"/>
  <c r="B51" i="2"/>
  <c r="A51" i="2"/>
  <c r="G50" i="2"/>
  <c r="E50" i="2"/>
  <c r="D50" i="2"/>
  <c r="B50" i="2"/>
  <c r="A50" i="2"/>
  <c r="G49" i="2"/>
  <c r="E49" i="2"/>
  <c r="D49" i="2"/>
  <c r="B49" i="2"/>
  <c r="A49" i="2"/>
  <c r="G48" i="2"/>
  <c r="E48" i="2"/>
  <c r="D48" i="2"/>
  <c r="B48" i="2"/>
  <c r="A48" i="2"/>
  <c r="G47" i="2"/>
  <c r="E47" i="2"/>
  <c r="D47" i="2"/>
  <c r="B47" i="2"/>
  <c r="A47" i="2"/>
  <c r="G46" i="2"/>
  <c r="E46" i="2"/>
  <c r="D46" i="2"/>
  <c r="B46" i="2"/>
  <c r="A46" i="2"/>
  <c r="G45" i="2"/>
  <c r="E45" i="2"/>
  <c r="D45" i="2"/>
  <c r="B45" i="2"/>
  <c r="A45" i="2"/>
  <c r="G44" i="2"/>
  <c r="E44" i="2"/>
  <c r="D44" i="2"/>
  <c r="B44" i="2"/>
  <c r="A44" i="2"/>
  <c r="G43" i="2"/>
  <c r="E43" i="2"/>
  <c r="D43" i="2"/>
  <c r="B43" i="2"/>
  <c r="A43" i="2"/>
  <c r="G42" i="2"/>
  <c r="E42" i="2"/>
  <c r="D42" i="2"/>
  <c r="B42" i="2"/>
  <c r="A42" i="2"/>
  <c r="G41" i="2"/>
  <c r="E41" i="2"/>
  <c r="D41" i="2"/>
  <c r="B41" i="2"/>
  <c r="A41" i="2"/>
  <c r="G40" i="2"/>
  <c r="E40" i="2"/>
  <c r="D40" i="2"/>
  <c r="B40" i="2"/>
  <c r="A40" i="2"/>
  <c r="G39" i="2"/>
  <c r="E39" i="2"/>
  <c r="D39" i="2"/>
  <c r="B39" i="2"/>
  <c r="A39" i="2"/>
  <c r="G38" i="2"/>
  <c r="E38" i="2"/>
  <c r="D38" i="2"/>
  <c r="B38" i="2"/>
  <c r="A38" i="2"/>
  <c r="G37" i="2"/>
  <c r="E37" i="2"/>
  <c r="D37" i="2"/>
  <c r="B37" i="2"/>
  <c r="A37" i="2"/>
  <c r="G36" i="2"/>
  <c r="E36" i="2"/>
  <c r="D36" i="2"/>
  <c r="B36" i="2"/>
  <c r="A36" i="2"/>
  <c r="G35" i="2"/>
  <c r="E35" i="2"/>
  <c r="D35" i="2"/>
  <c r="B35" i="2"/>
  <c r="A35" i="2"/>
  <c r="G34" i="2"/>
  <c r="E34" i="2"/>
  <c r="D34" i="2"/>
  <c r="B34" i="2"/>
  <c r="A34" i="2"/>
  <c r="G33" i="2"/>
  <c r="E33" i="2"/>
  <c r="D33" i="2"/>
  <c r="B33" i="2"/>
  <c r="A33" i="2"/>
  <c r="G32" i="2"/>
  <c r="E32" i="2"/>
  <c r="D32" i="2"/>
  <c r="B32" i="2"/>
  <c r="A32" i="2"/>
  <c r="G31" i="2"/>
  <c r="E31" i="2"/>
  <c r="D31" i="2"/>
  <c r="B31" i="2"/>
  <c r="A31" i="2"/>
  <c r="G30" i="2"/>
  <c r="E30" i="2"/>
  <c r="D30" i="2"/>
  <c r="B30" i="2"/>
  <c r="A30" i="2"/>
  <c r="G29" i="2"/>
  <c r="E29" i="2"/>
  <c r="D29" i="2"/>
  <c r="B29" i="2"/>
  <c r="A29" i="2"/>
  <c r="G28" i="2"/>
  <c r="E28" i="2"/>
  <c r="D28" i="2"/>
  <c r="B28" i="2"/>
  <c r="A28" i="2"/>
  <c r="G27" i="2"/>
  <c r="E27" i="2"/>
  <c r="D27" i="2"/>
  <c r="B27" i="2"/>
  <c r="A27" i="2"/>
  <c r="G26" i="2"/>
  <c r="E26" i="2"/>
  <c r="D26" i="2"/>
  <c r="B26" i="2"/>
  <c r="A26" i="2"/>
  <c r="G25" i="2"/>
  <c r="E25" i="2"/>
  <c r="D25" i="2"/>
  <c r="B25" i="2"/>
  <c r="A25" i="2"/>
  <c r="G24" i="2"/>
  <c r="E24" i="2"/>
  <c r="D24" i="2"/>
  <c r="B24" i="2"/>
  <c r="A24" i="2"/>
  <c r="G23" i="2"/>
  <c r="E23" i="2"/>
  <c r="D23" i="2"/>
  <c r="B23" i="2"/>
  <c r="A23" i="2"/>
  <c r="G22" i="2"/>
  <c r="E22" i="2"/>
  <c r="D22" i="2"/>
  <c r="B22" i="2"/>
  <c r="A22" i="2"/>
  <c r="G21" i="2"/>
  <c r="E21" i="2"/>
  <c r="D21" i="2"/>
  <c r="B21" i="2"/>
  <c r="A21" i="2"/>
  <c r="G20" i="2"/>
  <c r="E20" i="2"/>
  <c r="D20" i="2"/>
  <c r="B20" i="2"/>
  <c r="A20" i="2"/>
  <c r="G19" i="2"/>
  <c r="E19" i="2"/>
  <c r="D19" i="2"/>
  <c r="B19" i="2"/>
  <c r="A19" i="2"/>
  <c r="G18" i="2"/>
  <c r="E18" i="2"/>
  <c r="D18" i="2"/>
  <c r="B18" i="2"/>
  <c r="A18" i="2"/>
  <c r="G17" i="2"/>
  <c r="E17" i="2"/>
  <c r="D17" i="2"/>
  <c r="B17" i="2"/>
  <c r="A17" i="2"/>
  <c r="G16" i="2"/>
  <c r="E16" i="2"/>
  <c r="D16" i="2"/>
  <c r="B16" i="2"/>
  <c r="A16" i="2"/>
  <c r="G15" i="2"/>
  <c r="E15" i="2"/>
  <c r="D15" i="2"/>
  <c r="B15" i="2"/>
  <c r="A15" i="2"/>
  <c r="G14" i="2"/>
  <c r="E14" i="2"/>
  <c r="D14" i="2"/>
  <c r="B14" i="2"/>
  <c r="A14" i="2"/>
  <c r="G13" i="2"/>
  <c r="E13" i="2"/>
  <c r="D13" i="2"/>
  <c r="B13" i="2"/>
  <c r="A13" i="2"/>
  <c r="G12" i="2"/>
  <c r="E12" i="2"/>
  <c r="D12" i="2"/>
  <c r="B12" i="2"/>
  <c r="A12" i="2"/>
  <c r="G11" i="2"/>
  <c r="E11" i="2"/>
  <c r="D11" i="2"/>
  <c r="B11" i="2"/>
  <c r="A11" i="2"/>
  <c r="G10" i="2"/>
  <c r="E10" i="2"/>
  <c r="D10" i="2"/>
  <c r="B10" i="2"/>
  <c r="A10" i="2"/>
  <c r="G9" i="2"/>
  <c r="E9" i="2"/>
  <c r="D9" i="2"/>
  <c r="B9" i="2"/>
  <c r="A9" i="2"/>
  <c r="G8" i="2"/>
  <c r="E8" i="2"/>
  <c r="D8" i="2"/>
  <c r="B8" i="2"/>
  <c r="A8" i="2"/>
  <c r="G7" i="2"/>
  <c r="E7" i="2"/>
  <c r="D7" i="2"/>
  <c r="B7" i="2"/>
  <c r="A7" i="2"/>
  <c r="G6" i="2"/>
  <c r="E6" i="2"/>
  <c r="D6" i="2"/>
  <c r="B6" i="2"/>
  <c r="A6" i="2"/>
  <c r="G5" i="2"/>
  <c r="E5" i="2"/>
  <c r="D5" i="2"/>
  <c r="B5" i="2"/>
  <c r="A5" i="2"/>
  <c r="G4" i="2"/>
  <c r="E4" i="2"/>
  <c r="D4" i="2"/>
  <c r="B4" i="2"/>
  <c r="A4" i="2"/>
  <c r="G3" i="2"/>
  <c r="E3" i="2"/>
  <c r="D3" i="2"/>
  <c r="B3" i="2"/>
  <c r="A3" i="2"/>
  <c r="F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27" i="1"/>
  <c r="D2" i="1"/>
  <c r="E2" i="1"/>
  <c r="G2" i="1"/>
  <c r="D3" i="1"/>
  <c r="E3" i="1"/>
  <c r="G3" i="1"/>
  <c r="D4" i="1"/>
  <c r="E4" i="1"/>
  <c r="G4" i="1"/>
  <c r="D5" i="1"/>
  <c r="E5" i="1"/>
  <c r="G5" i="1"/>
  <c r="D6" i="1"/>
  <c r="E6" i="1"/>
  <c r="G6" i="1"/>
  <c r="D7" i="1"/>
  <c r="E7" i="1"/>
  <c r="G7" i="1"/>
  <c r="D8" i="1"/>
  <c r="E8" i="1"/>
  <c r="G8" i="1"/>
  <c r="D9" i="1"/>
  <c r="E9" i="1"/>
  <c r="G9" i="1"/>
  <c r="D10" i="1"/>
  <c r="E10" i="1"/>
  <c r="G10" i="1"/>
  <c r="D11" i="1"/>
  <c r="E11" i="1"/>
  <c r="G11" i="1"/>
  <c r="D12" i="1"/>
  <c r="E12" i="1"/>
  <c r="G12" i="1"/>
  <c r="D13" i="1"/>
  <c r="E13" i="1"/>
  <c r="G13" i="1"/>
  <c r="D14" i="1"/>
  <c r="E14" i="1"/>
  <c r="G14" i="1"/>
  <c r="D15" i="1"/>
  <c r="E15" i="1"/>
  <c r="G15" i="1"/>
  <c r="D16" i="1"/>
  <c r="E16" i="1"/>
  <c r="G16" i="1"/>
  <c r="D17" i="1"/>
  <c r="E17" i="1"/>
  <c r="G17" i="1"/>
  <c r="D18" i="1"/>
  <c r="E18" i="1"/>
  <c r="G18" i="1"/>
  <c r="D19" i="1"/>
  <c r="E19" i="1"/>
  <c r="G19" i="1"/>
  <c r="D20" i="1"/>
  <c r="E20" i="1"/>
  <c r="G20" i="1"/>
  <c r="D21" i="1"/>
  <c r="E21" i="1"/>
  <c r="G21" i="1"/>
  <c r="D22" i="1"/>
  <c r="E22" i="1"/>
  <c r="G22" i="1"/>
  <c r="D23" i="1"/>
  <c r="E23" i="1"/>
  <c r="G23" i="1"/>
  <c r="D24" i="1"/>
  <c r="E24" i="1"/>
  <c r="G24" i="1"/>
  <c r="D25" i="1"/>
  <c r="E25" i="1"/>
  <c r="G25" i="1"/>
  <c r="D26" i="1"/>
  <c r="E26" i="1"/>
  <c r="G26" i="1"/>
  <c r="D27" i="1"/>
  <c r="E27" i="1"/>
  <c r="G27" i="1"/>
  <c r="D28" i="1"/>
  <c r="E28" i="1"/>
  <c r="G28" i="1"/>
  <c r="D29" i="1"/>
  <c r="E29" i="1"/>
  <c r="G29" i="1"/>
  <c r="D30" i="1"/>
  <c r="E30" i="1"/>
  <c r="G30" i="1"/>
  <c r="D31" i="1"/>
  <c r="E31" i="1"/>
  <c r="G31" i="1"/>
  <c r="D32" i="1"/>
  <c r="E32" i="1"/>
  <c r="G32" i="1"/>
  <c r="D33" i="1"/>
  <c r="E33" i="1"/>
  <c r="G33" i="1"/>
  <c r="D34" i="1"/>
  <c r="E34" i="1"/>
  <c r="G34" i="1"/>
  <c r="D35" i="1"/>
  <c r="E35" i="1"/>
  <c r="G35" i="1"/>
  <c r="D36" i="1"/>
  <c r="E36" i="1"/>
  <c r="G36" i="1"/>
  <c r="D37" i="1"/>
  <c r="E37" i="1"/>
  <c r="G37" i="1"/>
  <c r="D38" i="1"/>
  <c r="E38" i="1"/>
  <c r="G38" i="1"/>
  <c r="D39" i="1"/>
  <c r="E39" i="1"/>
  <c r="G39" i="1"/>
  <c r="D40" i="1"/>
  <c r="E40" i="1"/>
  <c r="G40" i="1"/>
  <c r="D41" i="1"/>
  <c r="E41" i="1"/>
  <c r="G41" i="1"/>
  <c r="D42" i="1"/>
  <c r="E42" i="1"/>
  <c r="G42" i="1"/>
  <c r="D43" i="1"/>
  <c r="E43" i="1"/>
  <c r="G43" i="1"/>
  <c r="D44" i="1"/>
  <c r="E44" i="1"/>
  <c r="G44" i="1"/>
  <c r="D45" i="1"/>
  <c r="E45" i="1"/>
  <c r="G45" i="1"/>
  <c r="D46" i="1"/>
  <c r="E46" i="1"/>
  <c r="G46" i="1"/>
  <c r="D47" i="1"/>
  <c r="E47" i="1"/>
  <c r="G47" i="1"/>
  <c r="D48" i="1"/>
  <c r="E48" i="1"/>
  <c r="G48" i="1"/>
  <c r="D49" i="1"/>
  <c r="E49" i="1"/>
  <c r="G49" i="1"/>
  <c r="D50" i="1"/>
  <c r="E50" i="1"/>
  <c r="G50" i="1"/>
  <c r="D51" i="1"/>
  <c r="E51" i="1"/>
  <c r="G51" i="1"/>
  <c r="D52" i="1"/>
  <c r="E52" i="1"/>
  <c r="G52" i="1"/>
  <c r="D53" i="1"/>
  <c r="E53" i="1"/>
  <c r="G53" i="1"/>
  <c r="D54" i="1"/>
  <c r="E54" i="1"/>
  <c r="G54" i="1"/>
  <c r="D55" i="1"/>
  <c r="E55" i="1"/>
  <c r="G55" i="1"/>
  <c r="D56" i="1"/>
  <c r="E56" i="1"/>
  <c r="G56" i="1"/>
  <c r="D57" i="1"/>
  <c r="E57" i="1"/>
  <c r="G57" i="1"/>
  <c r="D58" i="1"/>
  <c r="E58" i="1"/>
  <c r="G58" i="1"/>
  <c r="D59" i="1"/>
  <c r="E59" i="1"/>
  <c r="G59" i="1"/>
  <c r="A2" i="1"/>
  <c r="H2" i="1" s="1"/>
  <c r="B2" i="1"/>
  <c r="A3" i="1"/>
  <c r="H3" i="1" s="1"/>
  <c r="B3" i="1"/>
  <c r="A4" i="1"/>
  <c r="H4" i="1" s="1"/>
  <c r="B4" i="1"/>
  <c r="A5" i="1"/>
  <c r="H5" i="1" s="1"/>
  <c r="B5" i="1"/>
  <c r="A6" i="1"/>
  <c r="H6" i="1" s="1"/>
  <c r="B6" i="1"/>
  <c r="A7" i="1"/>
  <c r="H7" i="1" s="1"/>
  <c r="B7" i="1"/>
  <c r="A8" i="1"/>
  <c r="H8" i="1" s="1"/>
  <c r="B8" i="1"/>
  <c r="A9" i="1"/>
  <c r="H9" i="1" s="1"/>
  <c r="B9" i="1"/>
  <c r="A10" i="1"/>
  <c r="H10" i="1" s="1"/>
  <c r="B10" i="1"/>
  <c r="A11" i="1"/>
  <c r="H11" i="1" s="1"/>
  <c r="B11" i="1"/>
  <c r="A12" i="1"/>
  <c r="H12" i="1" s="1"/>
  <c r="B12" i="1"/>
  <c r="A13" i="1"/>
  <c r="H13" i="1" s="1"/>
  <c r="B13" i="1"/>
  <c r="A14" i="1"/>
  <c r="H14" i="1" s="1"/>
  <c r="B14" i="1"/>
  <c r="A15" i="1"/>
  <c r="H15" i="1" s="1"/>
  <c r="B15" i="1"/>
  <c r="A16" i="1"/>
  <c r="H16" i="1" s="1"/>
  <c r="B16" i="1"/>
  <c r="A17" i="1"/>
  <c r="H17" i="1" s="1"/>
  <c r="B17" i="1"/>
  <c r="A18" i="1"/>
  <c r="H18" i="1" s="1"/>
  <c r="B18" i="1"/>
  <c r="A19" i="1"/>
  <c r="H19" i="1" s="1"/>
  <c r="B19" i="1"/>
  <c r="A20" i="1"/>
  <c r="H20" i="1" s="1"/>
  <c r="B20" i="1"/>
  <c r="A21" i="1"/>
  <c r="H21" i="1" s="1"/>
  <c r="B21" i="1"/>
  <c r="A22" i="1"/>
  <c r="H22" i="1" s="1"/>
  <c r="B22" i="1"/>
  <c r="A23" i="1"/>
  <c r="H23" i="1" s="1"/>
  <c r="B23" i="1"/>
  <c r="A24" i="1"/>
  <c r="H24" i="1" s="1"/>
  <c r="B24" i="1"/>
  <c r="A25" i="1"/>
  <c r="H25" i="1" s="1"/>
  <c r="B25" i="1"/>
  <c r="A26" i="1"/>
  <c r="H26" i="1" s="1"/>
  <c r="B26" i="1"/>
  <c r="A27" i="1"/>
  <c r="H27" i="1" s="1"/>
  <c r="B27" i="1"/>
  <c r="A28" i="1"/>
  <c r="H28" i="1" s="1"/>
  <c r="B28" i="1"/>
  <c r="A29" i="1"/>
  <c r="H29" i="1" s="1"/>
  <c r="B29" i="1"/>
  <c r="A30" i="1"/>
  <c r="H30" i="1" s="1"/>
  <c r="B30" i="1"/>
  <c r="A31" i="1"/>
  <c r="H31" i="1" s="1"/>
  <c r="B31" i="1"/>
  <c r="A32" i="1"/>
  <c r="H32" i="1" s="1"/>
  <c r="B32" i="1"/>
  <c r="A33" i="1"/>
  <c r="H33" i="1" s="1"/>
  <c r="B33" i="1"/>
  <c r="A34" i="1"/>
  <c r="H34" i="1" s="1"/>
  <c r="B34" i="1"/>
  <c r="A35" i="1"/>
  <c r="H35" i="1" s="1"/>
  <c r="B35" i="1"/>
  <c r="A36" i="1"/>
  <c r="H36" i="1" s="1"/>
  <c r="B36" i="1"/>
  <c r="A37" i="1"/>
  <c r="H37" i="1" s="1"/>
  <c r="B37" i="1"/>
  <c r="A38" i="1"/>
  <c r="H38" i="1" s="1"/>
  <c r="B38" i="1"/>
  <c r="A39" i="1"/>
  <c r="H39" i="1" s="1"/>
  <c r="B39" i="1"/>
  <c r="A40" i="1"/>
  <c r="H40" i="1" s="1"/>
  <c r="B40" i="1"/>
  <c r="A41" i="1"/>
  <c r="H41" i="1" s="1"/>
  <c r="B41" i="1"/>
  <c r="A42" i="1"/>
  <c r="H42" i="1" s="1"/>
  <c r="B42" i="1"/>
  <c r="A43" i="1"/>
  <c r="H43" i="1" s="1"/>
  <c r="B43" i="1"/>
  <c r="A44" i="1"/>
  <c r="B44" i="1"/>
  <c r="A45" i="1"/>
  <c r="H45" i="1" s="1"/>
  <c r="B45" i="1"/>
  <c r="A46" i="1"/>
  <c r="H46" i="1" s="1"/>
  <c r="B46" i="1"/>
  <c r="A47" i="1"/>
  <c r="H47" i="1" s="1"/>
  <c r="B47" i="1"/>
  <c r="A48" i="1"/>
  <c r="H48" i="1" s="1"/>
  <c r="B48" i="1"/>
  <c r="A49" i="1"/>
  <c r="H49" i="1" s="1"/>
  <c r="B49" i="1"/>
  <c r="A50" i="1"/>
  <c r="H50" i="1" s="1"/>
  <c r="B50" i="1"/>
  <c r="A51" i="1"/>
  <c r="H51" i="1" s="1"/>
  <c r="B51" i="1"/>
  <c r="A52" i="1"/>
  <c r="H52" i="1" s="1"/>
  <c r="B52" i="1"/>
  <c r="A53" i="1"/>
  <c r="H53" i="1" s="1"/>
  <c r="B53" i="1"/>
  <c r="A54" i="1"/>
  <c r="H54" i="1" s="1"/>
  <c r="B54" i="1"/>
  <c r="A55" i="1"/>
  <c r="H55" i="1" s="1"/>
  <c r="B55" i="1"/>
  <c r="A56" i="1"/>
  <c r="H56" i="1" s="1"/>
  <c r="B56" i="1"/>
  <c r="A57" i="1"/>
  <c r="H57" i="1" s="1"/>
  <c r="B57" i="1"/>
  <c r="A58" i="1"/>
  <c r="H58" i="1" s="1"/>
  <c r="B58" i="1"/>
  <c r="A59" i="1"/>
  <c r="H59" i="1" s="1"/>
  <c r="B59" i="1"/>
  <c r="G1" i="1"/>
  <c r="E1" i="1"/>
  <c r="D1" i="1"/>
  <c r="B1" i="1"/>
  <c r="A1" i="1"/>
  <c r="H1" i="1" s="1"/>
  <c r="H44" i="1" l="1"/>
</calcChain>
</file>

<file path=xl/sharedStrings.xml><?xml version="1.0" encoding="utf-8"?>
<sst xmlns="http://schemas.openxmlformats.org/spreadsheetml/2006/main" count="180" uniqueCount="108">
  <si>
    <t>White</t>
  </si>
  <si>
    <t>Blue</t>
  </si>
  <si>
    <t>Event ID</t>
  </si>
  <si>
    <t>Player</t>
  </si>
  <si>
    <t>Gender</t>
  </si>
  <si>
    <t>Category</t>
  </si>
  <si>
    <t>Age Group</t>
  </si>
  <si>
    <t>Round</t>
  </si>
  <si>
    <t>Contest ID</t>
  </si>
  <si>
    <t>Timer State</t>
  </si>
  <si>
    <t>Timer</t>
  </si>
  <si>
    <t>Minute</t>
  </si>
  <si>
    <t>Second</t>
  </si>
  <si>
    <t>Nation</t>
  </si>
  <si>
    <t>White ID</t>
  </si>
  <si>
    <t>Blue ID</t>
  </si>
  <si>
    <t>White Short Name</t>
  </si>
  <si>
    <t>White Long Name</t>
  </si>
  <si>
    <t>Blue Short Name</t>
  </si>
  <si>
    <t>Blue Long Name</t>
  </si>
  <si>
    <t>White World Ranking List Position</t>
  </si>
  <si>
    <t>Blue World Ranking List Position</t>
  </si>
  <si>
    <t>Ippon White</t>
  </si>
  <si>
    <t>Ippon Blue</t>
  </si>
  <si>
    <t>Shido White</t>
  </si>
  <si>
    <t>Shido Blue</t>
  </si>
  <si>
    <t>WazaAri White</t>
  </si>
  <si>
    <t>WazaAri Blue</t>
  </si>
  <si>
    <t>Osaekomi Timer</t>
  </si>
  <si>
    <t>Osaekomi Timer White</t>
  </si>
  <si>
    <t>Osaekomi Timer Blue</t>
  </si>
  <si>
    <t>Team Score White</t>
  </si>
  <si>
    <t>Team Score Blue</t>
  </si>
  <si>
    <t>Golden Score</t>
  </si>
  <si>
    <t>Winner</t>
  </si>
  <si>
    <t>Referee ID</t>
  </si>
  <si>
    <t>Judge 1 ID</t>
  </si>
  <si>
    <t>Judge 2 ID</t>
  </si>
  <si>
    <t>Mat Number</t>
  </si>
  <si>
    <t>Display Mode</t>
  </si>
  <si>
    <t>Elimination</t>
  </si>
  <si>
    <t>Pool Final</t>
  </si>
  <si>
    <t>Repecharge</t>
  </si>
  <si>
    <t>Semi Final</t>
  </si>
  <si>
    <t>Bronze</t>
  </si>
  <si>
    <t>Final</t>
  </si>
  <si>
    <t>Logo</t>
  </si>
  <si>
    <t>Contest Info</t>
  </si>
  <si>
    <t>White Info</t>
  </si>
  <si>
    <t>Blue Info</t>
  </si>
  <si>
    <t>Both Info</t>
  </si>
  <si>
    <t>Scoreboard</t>
  </si>
  <si>
    <t>Stopped</t>
  </si>
  <si>
    <t>Running</t>
  </si>
  <si>
    <t>&lt;?xml version="1.0" encoding="utf-8" ?&gt;</t>
  </si>
  <si>
    <t>&lt;Language&gt;</t>
  </si>
  <si>
    <t>&lt;/Language&gt;</t>
  </si>
  <si>
    <t>Joueur</t>
  </si>
  <si>
    <t>blanc</t>
  </si>
  <si>
    <t>Bleu</t>
  </si>
  <si>
    <t>ID d'événement</t>
  </si>
  <si>
    <t>Le sexe</t>
  </si>
  <si>
    <t>Catégorie</t>
  </si>
  <si>
    <t>Tranche d'âge</t>
  </si>
  <si>
    <t>Rond</t>
  </si>
  <si>
    <t>Identifiant du concours</t>
  </si>
  <si>
    <t>État du minuteur</t>
  </si>
  <si>
    <t>Minuteur</t>
  </si>
  <si>
    <t>Seconde</t>
  </si>
  <si>
    <t>ID blanc</t>
  </si>
  <si>
    <t>Nom court blanc</t>
  </si>
  <si>
    <t>Nom long blanc</t>
  </si>
  <si>
    <t>Nom court bleu</t>
  </si>
  <si>
    <t>Nom long bleu</t>
  </si>
  <si>
    <t>Blanc Classement au classement mondial</t>
  </si>
  <si>
    <t>Classement au classement mondial bleu</t>
  </si>
  <si>
    <t>WazaAri Blanc</t>
  </si>
  <si>
    <t>Osaekomi Minuteur</t>
  </si>
  <si>
    <t>Osaekomi Minuteur Blanc</t>
  </si>
  <si>
    <t>Osaekomi Minuteur Bleu</t>
  </si>
  <si>
    <t>Score d'équipe blanc</t>
  </si>
  <si>
    <t>Score d'équipe bleu</t>
  </si>
  <si>
    <t>Score d'or</t>
  </si>
  <si>
    <t>Gagnant</t>
  </si>
  <si>
    <t>ID de l'arbitre</t>
  </si>
  <si>
    <t>Juge 1 ID</t>
  </si>
  <si>
    <t>Juge 2 ID</t>
  </si>
  <si>
    <t>Numéro de tapis</t>
  </si>
  <si>
    <t>Mode d'affichage</t>
  </si>
  <si>
    <t>Élimination</t>
  </si>
  <si>
    <t>Piscine finale</t>
  </si>
  <si>
    <t>Recharger</t>
  </si>
  <si>
    <t>Demi-finale</t>
  </si>
  <si>
    <t>Informations sur le concours</t>
  </si>
  <si>
    <t>Info Blanc</t>
  </si>
  <si>
    <t>Info bleue</t>
  </si>
  <si>
    <t>Les deux infos</t>
  </si>
  <si>
    <t>Tableau de bord</t>
  </si>
  <si>
    <t>Arrêté</t>
  </si>
  <si>
    <t>Fonctionnement</t>
  </si>
  <si>
    <t>Men</t>
  </si>
  <si>
    <t>Women</t>
  </si>
  <si>
    <t>Cadets</t>
  </si>
  <si>
    <t>Juniors</t>
  </si>
  <si>
    <t>Seniors</t>
  </si>
  <si>
    <t>Hommes</t>
  </si>
  <si>
    <t>Femmes</t>
  </si>
  <si>
    <t>Les aînés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</si>
</sst>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25CF-C2CF-4EE8-8191-D487B5024E14}">
  <dimension ref="A1:H59"/>
  <sheetViews>
    <sheetView topLeftCell="A24" workbookViewId="0">
      <selection activeCell="C41" sqref="C41:C45"/>
    </sheetView>
  </sheetViews>
  <sheetFormatPr defaultRowHeight="14.6" x14ac:dyDescent="0.4"/>
  <cols>
    <col min="1" max="1" width="12.69140625" bestFit="1" customWidth="1"/>
    <col min="2" max="2" width="1.61328125" bestFit="1" customWidth="1"/>
    <col min="3" max="3" width="28.921875" bestFit="1" customWidth="1"/>
    <col min="4" max="4" width="1.61328125" bestFit="1" customWidth="1"/>
    <col min="5" max="5" width="1.84375" bestFit="1" customWidth="1"/>
    <col min="6" max="6" width="28.921875" bestFit="1" customWidth="1"/>
    <col min="7" max="7" width="8.3828125" bestFit="1" customWidth="1"/>
    <col min="8" max="8" width="79.61328125" bestFit="1" customWidth="1"/>
  </cols>
  <sheetData>
    <row r="1" spans="1:8" x14ac:dyDescent="0.4">
      <c r="A1" t="str">
        <f>"&lt;String name="</f>
        <v>&lt;String name=</v>
      </c>
      <c r="B1" t="str">
        <f>CHAR(34)</f>
        <v>"</v>
      </c>
      <c r="C1" t="s">
        <v>3</v>
      </c>
      <c r="D1" t="str">
        <f>CHAR(34)</f>
        <v>"</v>
      </c>
      <c r="E1" t="str">
        <f>"&gt;"</f>
        <v>&gt;</v>
      </c>
      <c r="F1" t="str">
        <f t="shared" ref="F1:F26" si="0">C1</f>
        <v>Player</v>
      </c>
      <c r="G1" t="str">
        <f>"&lt;/String&gt;"</f>
        <v>&lt;/String&gt;</v>
      </c>
      <c r="H1" t="str">
        <f>_xlfn.CONCAT(A1,B1,C1,D1,E1,F1,G1)</f>
        <v>&lt;String name="Player"&gt;Player&lt;/String&gt;</v>
      </c>
    </row>
    <row r="2" spans="1:8" x14ac:dyDescent="0.4">
      <c r="A2" t="str">
        <f t="shared" ref="A2:A59" si="1">"&lt;String name="</f>
        <v>&lt;String name=</v>
      </c>
      <c r="B2" t="str">
        <f t="shared" ref="B2:B59" si="2">CHAR(34)</f>
        <v>"</v>
      </c>
      <c r="C2" t="s">
        <v>0</v>
      </c>
      <c r="D2" t="str">
        <f t="shared" ref="D2:D59" si="3">CHAR(34)</f>
        <v>"</v>
      </c>
      <c r="E2" t="str">
        <f t="shared" ref="E2:E59" si="4">"&gt;"</f>
        <v>&gt;</v>
      </c>
      <c r="F2" t="str">
        <f t="shared" si="0"/>
        <v>White</v>
      </c>
      <c r="G2" t="str">
        <f t="shared" ref="G2:G59" si="5">"&lt;/String&gt;"</f>
        <v>&lt;/String&gt;</v>
      </c>
      <c r="H2" t="str">
        <f t="shared" ref="H2:H59" si="6">_xlfn.CONCAT(A2,B2,C2,D2,E2,F2,G2)</f>
        <v>&lt;String name="White"&gt;White&lt;/String&gt;</v>
      </c>
    </row>
    <row r="3" spans="1:8" x14ac:dyDescent="0.4">
      <c r="A3" t="str">
        <f t="shared" si="1"/>
        <v>&lt;String name=</v>
      </c>
      <c r="B3" t="str">
        <f t="shared" si="2"/>
        <v>"</v>
      </c>
      <c r="C3" t="s">
        <v>1</v>
      </c>
      <c r="D3" t="str">
        <f t="shared" si="3"/>
        <v>"</v>
      </c>
      <c r="E3" t="str">
        <f t="shared" si="4"/>
        <v>&gt;</v>
      </c>
      <c r="F3" t="str">
        <f t="shared" si="0"/>
        <v>Blue</v>
      </c>
      <c r="G3" t="str">
        <f t="shared" si="5"/>
        <v>&lt;/String&gt;</v>
      </c>
      <c r="H3" t="str">
        <f t="shared" si="6"/>
        <v>&lt;String name="Blue"&gt;Blue&lt;/String&gt;</v>
      </c>
    </row>
    <row r="4" spans="1:8" x14ac:dyDescent="0.4">
      <c r="A4" t="str">
        <f t="shared" si="1"/>
        <v>&lt;String name=</v>
      </c>
      <c r="B4" t="str">
        <f t="shared" si="2"/>
        <v>"</v>
      </c>
      <c r="C4" t="s">
        <v>2</v>
      </c>
      <c r="D4" t="str">
        <f t="shared" si="3"/>
        <v>"</v>
      </c>
      <c r="E4" t="str">
        <f t="shared" si="4"/>
        <v>&gt;</v>
      </c>
      <c r="F4" t="str">
        <f t="shared" si="0"/>
        <v>Event ID</v>
      </c>
      <c r="G4" t="str">
        <f t="shared" si="5"/>
        <v>&lt;/String&gt;</v>
      </c>
      <c r="H4" t="str">
        <f t="shared" si="6"/>
        <v>&lt;String name="Event ID"&gt;Event ID&lt;/String&gt;</v>
      </c>
    </row>
    <row r="5" spans="1:8" x14ac:dyDescent="0.4">
      <c r="A5" t="str">
        <f t="shared" si="1"/>
        <v>&lt;String name=</v>
      </c>
      <c r="B5" t="str">
        <f t="shared" si="2"/>
        <v>"</v>
      </c>
      <c r="C5" t="s">
        <v>4</v>
      </c>
      <c r="D5" t="str">
        <f t="shared" si="3"/>
        <v>"</v>
      </c>
      <c r="E5" t="str">
        <f t="shared" si="4"/>
        <v>&gt;</v>
      </c>
      <c r="F5" t="str">
        <f t="shared" si="0"/>
        <v>Gender</v>
      </c>
      <c r="G5" t="str">
        <f t="shared" si="5"/>
        <v>&lt;/String&gt;</v>
      </c>
      <c r="H5" t="str">
        <f t="shared" si="6"/>
        <v>&lt;String name="Gender"&gt;Gender&lt;/String&gt;</v>
      </c>
    </row>
    <row r="6" spans="1:8" x14ac:dyDescent="0.4">
      <c r="A6" t="str">
        <f t="shared" si="1"/>
        <v>&lt;String name=</v>
      </c>
      <c r="B6" t="str">
        <f t="shared" si="2"/>
        <v>"</v>
      </c>
      <c r="C6" t="s">
        <v>5</v>
      </c>
      <c r="D6" t="str">
        <f t="shared" si="3"/>
        <v>"</v>
      </c>
      <c r="E6" t="str">
        <f t="shared" si="4"/>
        <v>&gt;</v>
      </c>
      <c r="F6" t="str">
        <f t="shared" si="0"/>
        <v>Category</v>
      </c>
      <c r="G6" t="str">
        <f t="shared" si="5"/>
        <v>&lt;/String&gt;</v>
      </c>
      <c r="H6" t="str">
        <f t="shared" si="6"/>
        <v>&lt;String name="Category"&gt;Category&lt;/String&gt;</v>
      </c>
    </row>
    <row r="7" spans="1:8" x14ac:dyDescent="0.4">
      <c r="A7" t="str">
        <f t="shared" si="1"/>
        <v>&lt;String name=</v>
      </c>
      <c r="B7" t="str">
        <f t="shared" si="2"/>
        <v>"</v>
      </c>
      <c r="C7" t="s">
        <v>6</v>
      </c>
      <c r="D7" t="str">
        <f t="shared" si="3"/>
        <v>"</v>
      </c>
      <c r="E7" t="str">
        <f t="shared" si="4"/>
        <v>&gt;</v>
      </c>
      <c r="F7" t="str">
        <f t="shared" si="0"/>
        <v>Age Group</v>
      </c>
      <c r="G7" t="str">
        <f t="shared" si="5"/>
        <v>&lt;/String&gt;</v>
      </c>
      <c r="H7" t="str">
        <f t="shared" si="6"/>
        <v>&lt;String name="Age Group"&gt;Age Group&lt;/String&gt;</v>
      </c>
    </row>
    <row r="8" spans="1:8" x14ac:dyDescent="0.4">
      <c r="A8" t="str">
        <f t="shared" si="1"/>
        <v>&lt;String name=</v>
      </c>
      <c r="B8" t="str">
        <f t="shared" si="2"/>
        <v>"</v>
      </c>
      <c r="C8" t="s">
        <v>7</v>
      </c>
      <c r="D8" t="str">
        <f t="shared" si="3"/>
        <v>"</v>
      </c>
      <c r="E8" t="str">
        <f t="shared" si="4"/>
        <v>&gt;</v>
      </c>
      <c r="F8" t="str">
        <f t="shared" si="0"/>
        <v>Round</v>
      </c>
      <c r="G8" t="str">
        <f t="shared" si="5"/>
        <v>&lt;/String&gt;</v>
      </c>
      <c r="H8" t="str">
        <f t="shared" si="6"/>
        <v>&lt;String name="Round"&gt;Round&lt;/String&gt;</v>
      </c>
    </row>
    <row r="9" spans="1:8" x14ac:dyDescent="0.4">
      <c r="A9" t="str">
        <f t="shared" si="1"/>
        <v>&lt;String name=</v>
      </c>
      <c r="B9" t="str">
        <f t="shared" si="2"/>
        <v>"</v>
      </c>
      <c r="C9" t="s">
        <v>8</v>
      </c>
      <c r="D9" t="str">
        <f t="shared" si="3"/>
        <v>"</v>
      </c>
      <c r="E9" t="str">
        <f t="shared" si="4"/>
        <v>&gt;</v>
      </c>
      <c r="F9" t="str">
        <f t="shared" si="0"/>
        <v>Contest ID</v>
      </c>
      <c r="G9" t="str">
        <f t="shared" si="5"/>
        <v>&lt;/String&gt;</v>
      </c>
      <c r="H9" t="str">
        <f t="shared" si="6"/>
        <v>&lt;String name="Contest ID"&gt;Contest ID&lt;/String&gt;</v>
      </c>
    </row>
    <row r="10" spans="1:8" x14ac:dyDescent="0.4">
      <c r="A10" t="str">
        <f t="shared" si="1"/>
        <v>&lt;String name=</v>
      </c>
      <c r="B10" t="str">
        <f t="shared" si="2"/>
        <v>"</v>
      </c>
      <c r="C10" t="s">
        <v>9</v>
      </c>
      <c r="D10" t="str">
        <f t="shared" si="3"/>
        <v>"</v>
      </c>
      <c r="E10" t="str">
        <f t="shared" si="4"/>
        <v>&gt;</v>
      </c>
      <c r="F10" t="str">
        <f t="shared" si="0"/>
        <v>Timer State</v>
      </c>
      <c r="G10" t="str">
        <f t="shared" si="5"/>
        <v>&lt;/String&gt;</v>
      </c>
      <c r="H10" t="str">
        <f t="shared" si="6"/>
        <v>&lt;String name="Timer State"&gt;Timer State&lt;/String&gt;</v>
      </c>
    </row>
    <row r="11" spans="1:8" x14ac:dyDescent="0.4">
      <c r="A11" t="str">
        <f t="shared" si="1"/>
        <v>&lt;String name=</v>
      </c>
      <c r="B11" t="str">
        <f t="shared" si="2"/>
        <v>"</v>
      </c>
      <c r="C11" t="s">
        <v>10</v>
      </c>
      <c r="D11" t="str">
        <f t="shared" si="3"/>
        <v>"</v>
      </c>
      <c r="E11" t="str">
        <f t="shared" si="4"/>
        <v>&gt;</v>
      </c>
      <c r="F11" t="str">
        <f t="shared" si="0"/>
        <v>Timer</v>
      </c>
      <c r="G11" t="str">
        <f t="shared" si="5"/>
        <v>&lt;/String&gt;</v>
      </c>
      <c r="H11" t="str">
        <f t="shared" si="6"/>
        <v>&lt;String name="Timer"&gt;Timer&lt;/String&gt;</v>
      </c>
    </row>
    <row r="12" spans="1:8" x14ac:dyDescent="0.4">
      <c r="A12" t="str">
        <f t="shared" si="1"/>
        <v>&lt;String name=</v>
      </c>
      <c r="B12" t="str">
        <f t="shared" si="2"/>
        <v>"</v>
      </c>
      <c r="C12" t="s">
        <v>11</v>
      </c>
      <c r="D12" t="str">
        <f t="shared" si="3"/>
        <v>"</v>
      </c>
      <c r="E12" t="str">
        <f t="shared" si="4"/>
        <v>&gt;</v>
      </c>
      <c r="F12" t="str">
        <f t="shared" si="0"/>
        <v>Minute</v>
      </c>
      <c r="G12" t="str">
        <f t="shared" si="5"/>
        <v>&lt;/String&gt;</v>
      </c>
      <c r="H12" t="str">
        <f t="shared" si="6"/>
        <v>&lt;String name="Minute"&gt;Minute&lt;/String&gt;</v>
      </c>
    </row>
    <row r="13" spans="1:8" x14ac:dyDescent="0.4">
      <c r="A13" t="str">
        <f t="shared" si="1"/>
        <v>&lt;String name=</v>
      </c>
      <c r="B13" t="str">
        <f t="shared" si="2"/>
        <v>"</v>
      </c>
      <c r="C13" t="s">
        <v>12</v>
      </c>
      <c r="D13" t="str">
        <f t="shared" si="3"/>
        <v>"</v>
      </c>
      <c r="E13" t="str">
        <f t="shared" si="4"/>
        <v>&gt;</v>
      </c>
      <c r="F13" t="str">
        <f t="shared" si="0"/>
        <v>Second</v>
      </c>
      <c r="G13" t="str">
        <f t="shared" si="5"/>
        <v>&lt;/String&gt;</v>
      </c>
      <c r="H13" t="str">
        <f t="shared" si="6"/>
        <v>&lt;String name="Second"&gt;Second&lt;/String&gt;</v>
      </c>
    </row>
    <row r="14" spans="1:8" x14ac:dyDescent="0.4">
      <c r="A14" t="str">
        <f t="shared" si="1"/>
        <v>&lt;String name=</v>
      </c>
      <c r="B14" t="str">
        <f t="shared" si="2"/>
        <v>"</v>
      </c>
      <c r="C14" t="s">
        <v>13</v>
      </c>
      <c r="D14" t="str">
        <f t="shared" si="3"/>
        <v>"</v>
      </c>
      <c r="E14" t="str">
        <f t="shared" si="4"/>
        <v>&gt;</v>
      </c>
      <c r="F14" t="str">
        <f t="shared" si="0"/>
        <v>Nation</v>
      </c>
      <c r="G14" t="str">
        <f t="shared" si="5"/>
        <v>&lt;/String&gt;</v>
      </c>
      <c r="H14" t="str">
        <f t="shared" si="6"/>
        <v>&lt;String name="Nation"&gt;Nation&lt;/String&gt;</v>
      </c>
    </row>
    <row r="15" spans="1:8" x14ac:dyDescent="0.4">
      <c r="A15" t="str">
        <f t="shared" si="1"/>
        <v>&lt;String name=</v>
      </c>
      <c r="B15" t="str">
        <f t="shared" si="2"/>
        <v>"</v>
      </c>
      <c r="C15" t="s">
        <v>14</v>
      </c>
      <c r="D15" t="str">
        <f t="shared" si="3"/>
        <v>"</v>
      </c>
      <c r="E15" t="str">
        <f t="shared" si="4"/>
        <v>&gt;</v>
      </c>
      <c r="F15" t="str">
        <f t="shared" si="0"/>
        <v>White ID</v>
      </c>
      <c r="G15" t="str">
        <f t="shared" si="5"/>
        <v>&lt;/String&gt;</v>
      </c>
      <c r="H15" t="str">
        <f t="shared" si="6"/>
        <v>&lt;String name="White ID"&gt;White ID&lt;/String&gt;</v>
      </c>
    </row>
    <row r="16" spans="1:8" x14ac:dyDescent="0.4">
      <c r="A16" t="str">
        <f t="shared" si="1"/>
        <v>&lt;String name=</v>
      </c>
      <c r="B16" t="str">
        <f t="shared" si="2"/>
        <v>"</v>
      </c>
      <c r="C16" t="s">
        <v>15</v>
      </c>
      <c r="D16" t="str">
        <f t="shared" si="3"/>
        <v>"</v>
      </c>
      <c r="E16" t="str">
        <f t="shared" si="4"/>
        <v>&gt;</v>
      </c>
      <c r="F16" t="str">
        <f t="shared" si="0"/>
        <v>Blue ID</v>
      </c>
      <c r="G16" t="str">
        <f t="shared" si="5"/>
        <v>&lt;/String&gt;</v>
      </c>
      <c r="H16" t="str">
        <f t="shared" si="6"/>
        <v>&lt;String name="Blue ID"&gt;Blue ID&lt;/String&gt;</v>
      </c>
    </row>
    <row r="17" spans="1:8" x14ac:dyDescent="0.4">
      <c r="A17" t="str">
        <f t="shared" si="1"/>
        <v>&lt;String name=</v>
      </c>
      <c r="B17" t="str">
        <f t="shared" si="2"/>
        <v>"</v>
      </c>
      <c r="C17" t="s">
        <v>16</v>
      </c>
      <c r="D17" t="str">
        <f t="shared" si="3"/>
        <v>"</v>
      </c>
      <c r="E17" t="str">
        <f t="shared" si="4"/>
        <v>&gt;</v>
      </c>
      <c r="F17" t="str">
        <f t="shared" si="0"/>
        <v>White Short Name</v>
      </c>
      <c r="G17" t="str">
        <f t="shared" si="5"/>
        <v>&lt;/String&gt;</v>
      </c>
      <c r="H17" t="str">
        <f t="shared" si="6"/>
        <v>&lt;String name="White Short Name"&gt;White Short Name&lt;/String&gt;</v>
      </c>
    </row>
    <row r="18" spans="1:8" x14ac:dyDescent="0.4">
      <c r="A18" t="str">
        <f t="shared" si="1"/>
        <v>&lt;String name=</v>
      </c>
      <c r="B18" t="str">
        <f t="shared" si="2"/>
        <v>"</v>
      </c>
      <c r="C18" t="s">
        <v>17</v>
      </c>
      <c r="D18" t="str">
        <f t="shared" si="3"/>
        <v>"</v>
      </c>
      <c r="E18" t="str">
        <f t="shared" si="4"/>
        <v>&gt;</v>
      </c>
      <c r="F18" t="str">
        <f t="shared" si="0"/>
        <v>White Long Name</v>
      </c>
      <c r="G18" t="str">
        <f t="shared" si="5"/>
        <v>&lt;/String&gt;</v>
      </c>
      <c r="H18" t="str">
        <f t="shared" si="6"/>
        <v>&lt;String name="White Long Name"&gt;White Long Name&lt;/String&gt;</v>
      </c>
    </row>
    <row r="19" spans="1:8" x14ac:dyDescent="0.4">
      <c r="A19" t="str">
        <f t="shared" si="1"/>
        <v>&lt;String name=</v>
      </c>
      <c r="B19" t="str">
        <f t="shared" si="2"/>
        <v>"</v>
      </c>
      <c r="C19" t="s">
        <v>18</v>
      </c>
      <c r="D19" t="str">
        <f t="shared" si="3"/>
        <v>"</v>
      </c>
      <c r="E19" t="str">
        <f t="shared" si="4"/>
        <v>&gt;</v>
      </c>
      <c r="F19" t="str">
        <f t="shared" si="0"/>
        <v>Blue Short Name</v>
      </c>
      <c r="G19" t="str">
        <f t="shared" si="5"/>
        <v>&lt;/String&gt;</v>
      </c>
      <c r="H19" t="str">
        <f t="shared" si="6"/>
        <v>&lt;String name="Blue Short Name"&gt;Blue Short Name&lt;/String&gt;</v>
      </c>
    </row>
    <row r="20" spans="1:8" x14ac:dyDescent="0.4">
      <c r="A20" t="str">
        <f t="shared" si="1"/>
        <v>&lt;String name=</v>
      </c>
      <c r="B20" t="str">
        <f t="shared" si="2"/>
        <v>"</v>
      </c>
      <c r="C20" t="s">
        <v>19</v>
      </c>
      <c r="D20" t="str">
        <f t="shared" si="3"/>
        <v>"</v>
      </c>
      <c r="E20" t="str">
        <f t="shared" si="4"/>
        <v>&gt;</v>
      </c>
      <c r="F20" t="str">
        <f t="shared" si="0"/>
        <v>Blue Long Name</v>
      </c>
      <c r="G20" t="str">
        <f t="shared" si="5"/>
        <v>&lt;/String&gt;</v>
      </c>
      <c r="H20" t="str">
        <f t="shared" si="6"/>
        <v>&lt;String name="Blue Long Name"&gt;Blue Long Name&lt;/String&gt;</v>
      </c>
    </row>
    <row r="21" spans="1:8" x14ac:dyDescent="0.4">
      <c r="A21" t="str">
        <f t="shared" si="1"/>
        <v>&lt;String name=</v>
      </c>
      <c r="B21" t="str">
        <f t="shared" si="2"/>
        <v>"</v>
      </c>
      <c r="C21" t="s">
        <v>20</v>
      </c>
      <c r="D21" t="str">
        <f t="shared" si="3"/>
        <v>"</v>
      </c>
      <c r="E21" t="str">
        <f t="shared" si="4"/>
        <v>&gt;</v>
      </c>
      <c r="F21" t="str">
        <f t="shared" si="0"/>
        <v>White World Ranking List Position</v>
      </c>
      <c r="G21" t="str">
        <f t="shared" si="5"/>
        <v>&lt;/String&gt;</v>
      </c>
      <c r="H21" t="str">
        <f t="shared" si="6"/>
        <v>&lt;String name="White World Ranking List Position"&gt;White World Ranking List Position&lt;/String&gt;</v>
      </c>
    </row>
    <row r="22" spans="1:8" x14ac:dyDescent="0.4">
      <c r="A22" t="str">
        <f t="shared" si="1"/>
        <v>&lt;String name=</v>
      </c>
      <c r="B22" t="str">
        <f t="shared" si="2"/>
        <v>"</v>
      </c>
      <c r="C22" t="s">
        <v>21</v>
      </c>
      <c r="D22" t="str">
        <f t="shared" si="3"/>
        <v>"</v>
      </c>
      <c r="E22" t="str">
        <f t="shared" si="4"/>
        <v>&gt;</v>
      </c>
      <c r="F22" t="str">
        <f t="shared" si="0"/>
        <v>Blue World Ranking List Position</v>
      </c>
      <c r="G22" t="str">
        <f t="shared" si="5"/>
        <v>&lt;/String&gt;</v>
      </c>
      <c r="H22" t="str">
        <f t="shared" si="6"/>
        <v>&lt;String name="Blue World Ranking List Position"&gt;Blue World Ranking List Position&lt;/String&gt;</v>
      </c>
    </row>
    <row r="23" spans="1:8" x14ac:dyDescent="0.4">
      <c r="A23" t="str">
        <f t="shared" si="1"/>
        <v>&lt;String name=</v>
      </c>
      <c r="B23" t="str">
        <f t="shared" si="2"/>
        <v>"</v>
      </c>
      <c r="C23" t="s">
        <v>22</v>
      </c>
      <c r="D23" t="str">
        <f t="shared" si="3"/>
        <v>"</v>
      </c>
      <c r="E23" t="str">
        <f t="shared" si="4"/>
        <v>&gt;</v>
      </c>
      <c r="F23" t="str">
        <f t="shared" si="0"/>
        <v>Ippon White</v>
      </c>
      <c r="G23" t="str">
        <f t="shared" si="5"/>
        <v>&lt;/String&gt;</v>
      </c>
      <c r="H23" t="str">
        <f t="shared" si="6"/>
        <v>&lt;String name="Ippon White"&gt;Ippon White&lt;/String&gt;</v>
      </c>
    </row>
    <row r="24" spans="1:8" x14ac:dyDescent="0.4">
      <c r="A24" t="str">
        <f t="shared" si="1"/>
        <v>&lt;String name=</v>
      </c>
      <c r="B24" t="str">
        <f t="shared" si="2"/>
        <v>"</v>
      </c>
      <c r="C24" t="s">
        <v>23</v>
      </c>
      <c r="D24" t="str">
        <f t="shared" si="3"/>
        <v>"</v>
      </c>
      <c r="E24" t="str">
        <f t="shared" si="4"/>
        <v>&gt;</v>
      </c>
      <c r="F24" t="str">
        <f t="shared" si="0"/>
        <v>Ippon Blue</v>
      </c>
      <c r="G24" t="str">
        <f t="shared" si="5"/>
        <v>&lt;/String&gt;</v>
      </c>
      <c r="H24" t="str">
        <f t="shared" si="6"/>
        <v>&lt;String name="Ippon Blue"&gt;Ippon Blue&lt;/String&gt;</v>
      </c>
    </row>
    <row r="25" spans="1:8" x14ac:dyDescent="0.4">
      <c r="A25" t="str">
        <f t="shared" si="1"/>
        <v>&lt;String name=</v>
      </c>
      <c r="B25" t="str">
        <f t="shared" si="2"/>
        <v>"</v>
      </c>
      <c r="C25" t="s">
        <v>26</v>
      </c>
      <c r="D25" t="str">
        <f t="shared" si="3"/>
        <v>"</v>
      </c>
      <c r="E25" t="str">
        <f t="shared" si="4"/>
        <v>&gt;</v>
      </c>
      <c r="F25" t="str">
        <f t="shared" si="0"/>
        <v>WazaAri White</v>
      </c>
      <c r="G25" t="str">
        <f t="shared" si="5"/>
        <v>&lt;/String&gt;</v>
      </c>
      <c r="H25" t="str">
        <f t="shared" si="6"/>
        <v>&lt;String name="WazaAri White"&gt;WazaAri White&lt;/String&gt;</v>
      </c>
    </row>
    <row r="26" spans="1:8" x14ac:dyDescent="0.4">
      <c r="A26" t="str">
        <f t="shared" si="1"/>
        <v>&lt;String name=</v>
      </c>
      <c r="B26" t="str">
        <f t="shared" si="2"/>
        <v>"</v>
      </c>
      <c r="C26" t="s">
        <v>27</v>
      </c>
      <c r="D26" t="str">
        <f t="shared" si="3"/>
        <v>"</v>
      </c>
      <c r="E26" t="str">
        <f t="shared" si="4"/>
        <v>&gt;</v>
      </c>
      <c r="F26" t="str">
        <f t="shared" si="0"/>
        <v>WazaAri Blue</v>
      </c>
      <c r="G26" t="str">
        <f t="shared" si="5"/>
        <v>&lt;/String&gt;</v>
      </c>
      <c r="H26" t="str">
        <f t="shared" si="6"/>
        <v>&lt;String name="WazaAri Blue"&gt;WazaAri Blue&lt;/String&gt;</v>
      </c>
    </row>
    <row r="27" spans="1:8" x14ac:dyDescent="0.4">
      <c r="A27" t="str">
        <f t="shared" si="1"/>
        <v>&lt;String name=</v>
      </c>
      <c r="B27" t="str">
        <f t="shared" si="2"/>
        <v>"</v>
      </c>
      <c r="C27" t="s">
        <v>24</v>
      </c>
      <c r="D27" t="str">
        <f t="shared" si="3"/>
        <v>"</v>
      </c>
      <c r="E27" t="str">
        <f t="shared" si="4"/>
        <v>&gt;</v>
      </c>
      <c r="F27" t="str">
        <f>C27</f>
        <v>Shido White</v>
      </c>
      <c r="G27" t="str">
        <f t="shared" si="5"/>
        <v>&lt;/String&gt;</v>
      </c>
      <c r="H27" t="str">
        <f t="shared" si="6"/>
        <v>&lt;String name="Shido White"&gt;Shido White&lt;/String&gt;</v>
      </c>
    </row>
    <row r="28" spans="1:8" x14ac:dyDescent="0.4">
      <c r="A28" t="str">
        <f t="shared" si="1"/>
        <v>&lt;String name=</v>
      </c>
      <c r="B28" t="str">
        <f t="shared" si="2"/>
        <v>"</v>
      </c>
      <c r="C28" t="s">
        <v>25</v>
      </c>
      <c r="D28" t="str">
        <f t="shared" si="3"/>
        <v>"</v>
      </c>
      <c r="E28" t="str">
        <f t="shared" si="4"/>
        <v>&gt;</v>
      </c>
      <c r="F28" t="str">
        <f t="shared" ref="F28:F59" si="7">C28</f>
        <v>Shido Blue</v>
      </c>
      <c r="G28" t="str">
        <f t="shared" si="5"/>
        <v>&lt;/String&gt;</v>
      </c>
      <c r="H28" t="str">
        <f t="shared" si="6"/>
        <v>&lt;String name="Shido Blue"&gt;Shido Blue&lt;/String&gt;</v>
      </c>
    </row>
    <row r="29" spans="1:8" x14ac:dyDescent="0.4">
      <c r="A29" t="str">
        <f t="shared" si="1"/>
        <v>&lt;String name=</v>
      </c>
      <c r="B29" t="str">
        <f t="shared" si="2"/>
        <v>"</v>
      </c>
      <c r="C29" t="s">
        <v>28</v>
      </c>
      <c r="D29" t="str">
        <f t="shared" si="3"/>
        <v>"</v>
      </c>
      <c r="E29" t="str">
        <f t="shared" si="4"/>
        <v>&gt;</v>
      </c>
      <c r="F29" t="str">
        <f t="shared" si="7"/>
        <v>Osaekomi Timer</v>
      </c>
      <c r="G29" t="str">
        <f t="shared" si="5"/>
        <v>&lt;/String&gt;</v>
      </c>
      <c r="H29" t="str">
        <f t="shared" si="6"/>
        <v>&lt;String name="Osaekomi Timer"&gt;Osaekomi Timer&lt;/String&gt;</v>
      </c>
    </row>
    <row r="30" spans="1:8" x14ac:dyDescent="0.4">
      <c r="A30" t="str">
        <f t="shared" si="1"/>
        <v>&lt;String name=</v>
      </c>
      <c r="B30" t="str">
        <f t="shared" si="2"/>
        <v>"</v>
      </c>
      <c r="C30" t="s">
        <v>29</v>
      </c>
      <c r="D30" t="str">
        <f t="shared" si="3"/>
        <v>"</v>
      </c>
      <c r="E30" t="str">
        <f t="shared" si="4"/>
        <v>&gt;</v>
      </c>
      <c r="F30" t="str">
        <f t="shared" si="7"/>
        <v>Osaekomi Timer White</v>
      </c>
      <c r="G30" t="str">
        <f t="shared" si="5"/>
        <v>&lt;/String&gt;</v>
      </c>
      <c r="H30" t="str">
        <f t="shared" si="6"/>
        <v>&lt;String name="Osaekomi Timer White"&gt;Osaekomi Timer White&lt;/String&gt;</v>
      </c>
    </row>
    <row r="31" spans="1:8" x14ac:dyDescent="0.4">
      <c r="A31" t="str">
        <f t="shared" si="1"/>
        <v>&lt;String name=</v>
      </c>
      <c r="B31" t="str">
        <f t="shared" si="2"/>
        <v>"</v>
      </c>
      <c r="C31" t="s">
        <v>30</v>
      </c>
      <c r="D31" t="str">
        <f t="shared" si="3"/>
        <v>"</v>
      </c>
      <c r="E31" t="str">
        <f t="shared" si="4"/>
        <v>&gt;</v>
      </c>
      <c r="F31" t="str">
        <f t="shared" si="7"/>
        <v>Osaekomi Timer Blue</v>
      </c>
      <c r="G31" t="str">
        <f t="shared" si="5"/>
        <v>&lt;/String&gt;</v>
      </c>
      <c r="H31" t="str">
        <f t="shared" si="6"/>
        <v>&lt;String name="Osaekomi Timer Blue"&gt;Osaekomi Timer Blue&lt;/String&gt;</v>
      </c>
    </row>
    <row r="32" spans="1:8" x14ac:dyDescent="0.4">
      <c r="A32" t="str">
        <f t="shared" si="1"/>
        <v>&lt;String name=</v>
      </c>
      <c r="B32" t="str">
        <f t="shared" si="2"/>
        <v>"</v>
      </c>
      <c r="C32" t="s">
        <v>31</v>
      </c>
      <c r="D32" t="str">
        <f t="shared" si="3"/>
        <v>"</v>
      </c>
      <c r="E32" t="str">
        <f t="shared" si="4"/>
        <v>&gt;</v>
      </c>
      <c r="F32" t="str">
        <f t="shared" si="7"/>
        <v>Team Score White</v>
      </c>
      <c r="G32" t="str">
        <f t="shared" si="5"/>
        <v>&lt;/String&gt;</v>
      </c>
      <c r="H32" t="str">
        <f t="shared" si="6"/>
        <v>&lt;String name="Team Score White"&gt;Team Score White&lt;/String&gt;</v>
      </c>
    </row>
    <row r="33" spans="1:8" x14ac:dyDescent="0.4">
      <c r="A33" t="str">
        <f t="shared" si="1"/>
        <v>&lt;String name=</v>
      </c>
      <c r="B33" t="str">
        <f t="shared" si="2"/>
        <v>"</v>
      </c>
      <c r="C33" t="s">
        <v>32</v>
      </c>
      <c r="D33" t="str">
        <f t="shared" si="3"/>
        <v>"</v>
      </c>
      <c r="E33" t="str">
        <f t="shared" si="4"/>
        <v>&gt;</v>
      </c>
      <c r="F33" t="str">
        <f t="shared" si="7"/>
        <v>Team Score Blue</v>
      </c>
      <c r="G33" t="str">
        <f t="shared" si="5"/>
        <v>&lt;/String&gt;</v>
      </c>
      <c r="H33" t="str">
        <f t="shared" si="6"/>
        <v>&lt;String name="Team Score Blue"&gt;Team Score Blue&lt;/String&gt;</v>
      </c>
    </row>
    <row r="34" spans="1:8" x14ac:dyDescent="0.4">
      <c r="A34" t="str">
        <f t="shared" si="1"/>
        <v>&lt;String name=</v>
      </c>
      <c r="B34" t="str">
        <f t="shared" si="2"/>
        <v>"</v>
      </c>
      <c r="C34" t="s">
        <v>33</v>
      </c>
      <c r="D34" t="str">
        <f t="shared" si="3"/>
        <v>"</v>
      </c>
      <c r="E34" t="str">
        <f t="shared" si="4"/>
        <v>&gt;</v>
      </c>
      <c r="F34" t="str">
        <f t="shared" si="7"/>
        <v>Golden Score</v>
      </c>
      <c r="G34" t="str">
        <f t="shared" si="5"/>
        <v>&lt;/String&gt;</v>
      </c>
      <c r="H34" t="str">
        <f t="shared" si="6"/>
        <v>&lt;String name="Golden Score"&gt;Golden Score&lt;/String&gt;</v>
      </c>
    </row>
    <row r="35" spans="1:8" x14ac:dyDescent="0.4">
      <c r="A35" t="str">
        <f t="shared" si="1"/>
        <v>&lt;String name=</v>
      </c>
      <c r="B35" t="str">
        <f t="shared" si="2"/>
        <v>"</v>
      </c>
      <c r="C35" t="s">
        <v>34</v>
      </c>
      <c r="D35" t="str">
        <f t="shared" si="3"/>
        <v>"</v>
      </c>
      <c r="E35" t="str">
        <f t="shared" si="4"/>
        <v>&gt;</v>
      </c>
      <c r="F35" t="str">
        <f t="shared" si="7"/>
        <v>Winner</v>
      </c>
      <c r="G35" t="str">
        <f t="shared" si="5"/>
        <v>&lt;/String&gt;</v>
      </c>
      <c r="H35" t="str">
        <f t="shared" si="6"/>
        <v>&lt;String name="Winner"&gt;Winner&lt;/String&gt;</v>
      </c>
    </row>
    <row r="36" spans="1:8" x14ac:dyDescent="0.4">
      <c r="A36" t="str">
        <f t="shared" si="1"/>
        <v>&lt;String name=</v>
      </c>
      <c r="B36" t="str">
        <f t="shared" si="2"/>
        <v>"</v>
      </c>
      <c r="C36" t="s">
        <v>35</v>
      </c>
      <c r="D36" t="str">
        <f t="shared" si="3"/>
        <v>"</v>
      </c>
      <c r="E36" t="str">
        <f t="shared" si="4"/>
        <v>&gt;</v>
      </c>
      <c r="F36" t="str">
        <f t="shared" si="7"/>
        <v>Referee ID</v>
      </c>
      <c r="G36" t="str">
        <f t="shared" si="5"/>
        <v>&lt;/String&gt;</v>
      </c>
      <c r="H36" t="str">
        <f t="shared" si="6"/>
        <v>&lt;String name="Referee ID"&gt;Referee ID&lt;/String&gt;</v>
      </c>
    </row>
    <row r="37" spans="1:8" x14ac:dyDescent="0.4">
      <c r="A37" t="str">
        <f t="shared" si="1"/>
        <v>&lt;String name=</v>
      </c>
      <c r="B37" t="str">
        <f t="shared" si="2"/>
        <v>"</v>
      </c>
      <c r="C37" t="s">
        <v>36</v>
      </c>
      <c r="D37" t="str">
        <f t="shared" si="3"/>
        <v>"</v>
      </c>
      <c r="E37" t="str">
        <f t="shared" si="4"/>
        <v>&gt;</v>
      </c>
      <c r="F37" t="str">
        <f t="shared" si="7"/>
        <v>Judge 1 ID</v>
      </c>
      <c r="G37" t="str">
        <f t="shared" si="5"/>
        <v>&lt;/String&gt;</v>
      </c>
      <c r="H37" t="str">
        <f t="shared" si="6"/>
        <v>&lt;String name="Judge 1 ID"&gt;Judge 1 ID&lt;/String&gt;</v>
      </c>
    </row>
    <row r="38" spans="1:8" x14ac:dyDescent="0.4">
      <c r="A38" t="str">
        <f t="shared" si="1"/>
        <v>&lt;String name=</v>
      </c>
      <c r="B38" t="str">
        <f t="shared" si="2"/>
        <v>"</v>
      </c>
      <c r="C38" t="s">
        <v>37</v>
      </c>
      <c r="D38" t="str">
        <f t="shared" si="3"/>
        <v>"</v>
      </c>
      <c r="E38" t="str">
        <f t="shared" si="4"/>
        <v>&gt;</v>
      </c>
      <c r="F38" t="str">
        <f t="shared" si="7"/>
        <v>Judge 2 ID</v>
      </c>
      <c r="G38" t="str">
        <f t="shared" si="5"/>
        <v>&lt;/String&gt;</v>
      </c>
      <c r="H38" t="str">
        <f t="shared" si="6"/>
        <v>&lt;String name="Judge 2 ID"&gt;Judge 2 ID&lt;/String&gt;</v>
      </c>
    </row>
    <row r="39" spans="1:8" x14ac:dyDescent="0.4">
      <c r="A39" t="str">
        <f t="shared" si="1"/>
        <v>&lt;String name=</v>
      </c>
      <c r="B39" t="str">
        <f t="shared" si="2"/>
        <v>"</v>
      </c>
      <c r="C39" t="s">
        <v>38</v>
      </c>
      <c r="D39" t="str">
        <f t="shared" si="3"/>
        <v>"</v>
      </c>
      <c r="E39" t="str">
        <f t="shared" si="4"/>
        <v>&gt;</v>
      </c>
      <c r="F39" t="str">
        <f t="shared" si="7"/>
        <v>Mat Number</v>
      </c>
      <c r="G39" t="str">
        <f t="shared" si="5"/>
        <v>&lt;/String&gt;</v>
      </c>
      <c r="H39" t="str">
        <f t="shared" si="6"/>
        <v>&lt;String name="Mat Number"&gt;Mat Number&lt;/String&gt;</v>
      </c>
    </row>
    <row r="40" spans="1:8" x14ac:dyDescent="0.4">
      <c r="A40" t="str">
        <f t="shared" si="1"/>
        <v>&lt;String name=</v>
      </c>
      <c r="B40" t="str">
        <f t="shared" si="2"/>
        <v>"</v>
      </c>
      <c r="C40" t="s">
        <v>39</v>
      </c>
      <c r="D40" t="str">
        <f t="shared" si="3"/>
        <v>"</v>
      </c>
      <c r="E40" t="str">
        <f t="shared" si="4"/>
        <v>&gt;</v>
      </c>
      <c r="F40" t="str">
        <f t="shared" si="7"/>
        <v>Display Mode</v>
      </c>
      <c r="G40" t="str">
        <f t="shared" si="5"/>
        <v>&lt;/String&gt;</v>
      </c>
      <c r="H40" t="str">
        <f t="shared" si="6"/>
        <v>&lt;String name="Display Mode"&gt;Display Mode&lt;/String&gt;</v>
      </c>
    </row>
    <row r="41" spans="1:8" x14ac:dyDescent="0.4">
      <c r="A41" t="str">
        <f t="shared" si="1"/>
        <v>&lt;String name=</v>
      </c>
      <c r="B41" t="str">
        <f t="shared" si="2"/>
        <v>"</v>
      </c>
      <c r="C41" t="s">
        <v>100</v>
      </c>
      <c r="D41" t="str">
        <f t="shared" si="3"/>
        <v>"</v>
      </c>
      <c r="E41" t="str">
        <f t="shared" si="4"/>
        <v>&gt;</v>
      </c>
      <c r="F41" t="str">
        <f t="shared" si="7"/>
        <v>Men</v>
      </c>
      <c r="G41" t="str">
        <f t="shared" si="5"/>
        <v>&lt;/String&gt;</v>
      </c>
      <c r="H41" t="str">
        <f t="shared" si="6"/>
        <v>&lt;String name="Men"&gt;Men&lt;/String&gt;</v>
      </c>
    </row>
    <row r="42" spans="1:8" x14ac:dyDescent="0.4">
      <c r="A42" t="str">
        <f t="shared" si="1"/>
        <v>&lt;String name=</v>
      </c>
      <c r="B42" t="str">
        <f t="shared" si="2"/>
        <v>"</v>
      </c>
      <c r="C42" t="s">
        <v>101</v>
      </c>
      <c r="D42" t="str">
        <f t="shared" si="3"/>
        <v>"</v>
      </c>
      <c r="E42" t="str">
        <f t="shared" si="4"/>
        <v>&gt;</v>
      </c>
      <c r="F42" t="str">
        <f t="shared" si="7"/>
        <v>Women</v>
      </c>
      <c r="G42" t="str">
        <f t="shared" si="5"/>
        <v>&lt;/String&gt;</v>
      </c>
      <c r="H42" t="str">
        <f t="shared" si="6"/>
        <v>&lt;String name="Women"&gt;Women&lt;/String&gt;</v>
      </c>
    </row>
    <row r="43" spans="1:8" x14ac:dyDescent="0.4">
      <c r="A43" t="str">
        <f t="shared" si="1"/>
        <v>&lt;String name=</v>
      </c>
      <c r="B43" t="str">
        <f t="shared" si="2"/>
        <v>"</v>
      </c>
      <c r="C43" t="s">
        <v>102</v>
      </c>
      <c r="D43" t="str">
        <f t="shared" si="3"/>
        <v>"</v>
      </c>
      <c r="E43" t="str">
        <f t="shared" si="4"/>
        <v>&gt;</v>
      </c>
      <c r="F43" t="str">
        <f t="shared" si="7"/>
        <v>Cadets</v>
      </c>
      <c r="G43" t="str">
        <f t="shared" si="5"/>
        <v>&lt;/String&gt;</v>
      </c>
      <c r="H43" t="str">
        <f t="shared" si="6"/>
        <v>&lt;String name="Cadets"&gt;Cadets&lt;/String&gt;</v>
      </c>
    </row>
    <row r="44" spans="1:8" x14ac:dyDescent="0.4">
      <c r="A44" t="str">
        <f t="shared" si="1"/>
        <v>&lt;String name=</v>
      </c>
      <c r="B44" t="str">
        <f t="shared" si="2"/>
        <v>"</v>
      </c>
      <c r="C44" t="s">
        <v>103</v>
      </c>
      <c r="D44" t="str">
        <f t="shared" si="3"/>
        <v>"</v>
      </c>
      <c r="E44" t="str">
        <f t="shared" si="4"/>
        <v>&gt;</v>
      </c>
      <c r="F44" t="str">
        <f t="shared" si="7"/>
        <v>Juniors</v>
      </c>
      <c r="G44" t="str">
        <f t="shared" si="5"/>
        <v>&lt;/String&gt;</v>
      </c>
      <c r="H44" t="str">
        <f t="shared" si="6"/>
        <v>&lt;String name="Juniors"&gt;Juniors&lt;/String&gt;</v>
      </c>
    </row>
    <row r="45" spans="1:8" x14ac:dyDescent="0.4">
      <c r="A45" t="str">
        <f t="shared" si="1"/>
        <v>&lt;String name=</v>
      </c>
      <c r="B45" t="str">
        <f t="shared" si="2"/>
        <v>"</v>
      </c>
      <c r="C45" t="s">
        <v>104</v>
      </c>
      <c r="D45" t="str">
        <f t="shared" si="3"/>
        <v>"</v>
      </c>
      <c r="E45" t="str">
        <f t="shared" si="4"/>
        <v>&gt;</v>
      </c>
      <c r="F45" t="str">
        <f t="shared" si="7"/>
        <v>Seniors</v>
      </c>
      <c r="G45" t="str">
        <f t="shared" si="5"/>
        <v>&lt;/String&gt;</v>
      </c>
      <c r="H45" t="str">
        <f t="shared" si="6"/>
        <v>&lt;String name="Seniors"&gt;Seniors&lt;/String&gt;</v>
      </c>
    </row>
    <row r="46" spans="1:8" x14ac:dyDescent="0.4">
      <c r="A46" t="str">
        <f t="shared" si="1"/>
        <v>&lt;String name=</v>
      </c>
      <c r="B46" t="str">
        <f t="shared" si="2"/>
        <v>"</v>
      </c>
      <c r="C46" t="s">
        <v>40</v>
      </c>
      <c r="D46" t="str">
        <f t="shared" si="3"/>
        <v>"</v>
      </c>
      <c r="E46" t="str">
        <f t="shared" si="4"/>
        <v>&gt;</v>
      </c>
      <c r="F46" t="str">
        <f t="shared" si="7"/>
        <v>Elimination</v>
      </c>
      <c r="G46" t="str">
        <f t="shared" si="5"/>
        <v>&lt;/String&gt;</v>
      </c>
      <c r="H46" t="str">
        <f t="shared" si="6"/>
        <v>&lt;String name="Elimination"&gt;Elimination&lt;/String&gt;</v>
      </c>
    </row>
    <row r="47" spans="1:8" x14ac:dyDescent="0.4">
      <c r="A47" t="str">
        <f t="shared" si="1"/>
        <v>&lt;String name=</v>
      </c>
      <c r="B47" t="str">
        <f t="shared" si="2"/>
        <v>"</v>
      </c>
      <c r="C47" t="s">
        <v>41</v>
      </c>
      <c r="D47" t="str">
        <f t="shared" si="3"/>
        <v>"</v>
      </c>
      <c r="E47" t="str">
        <f t="shared" si="4"/>
        <v>&gt;</v>
      </c>
      <c r="F47" t="str">
        <f t="shared" si="7"/>
        <v>Pool Final</v>
      </c>
      <c r="G47" t="str">
        <f t="shared" si="5"/>
        <v>&lt;/String&gt;</v>
      </c>
      <c r="H47" t="str">
        <f t="shared" si="6"/>
        <v>&lt;String name="Pool Final"&gt;Pool Final&lt;/String&gt;</v>
      </c>
    </row>
    <row r="48" spans="1:8" x14ac:dyDescent="0.4">
      <c r="A48" t="str">
        <f t="shared" si="1"/>
        <v>&lt;String name=</v>
      </c>
      <c r="B48" t="str">
        <f t="shared" si="2"/>
        <v>"</v>
      </c>
      <c r="C48" t="s">
        <v>42</v>
      </c>
      <c r="D48" t="str">
        <f t="shared" si="3"/>
        <v>"</v>
      </c>
      <c r="E48" t="str">
        <f t="shared" si="4"/>
        <v>&gt;</v>
      </c>
      <c r="F48" t="str">
        <f t="shared" si="7"/>
        <v>Repecharge</v>
      </c>
      <c r="G48" t="str">
        <f t="shared" si="5"/>
        <v>&lt;/String&gt;</v>
      </c>
      <c r="H48" t="str">
        <f t="shared" si="6"/>
        <v>&lt;String name="Repecharge"&gt;Repecharge&lt;/String&gt;</v>
      </c>
    </row>
    <row r="49" spans="1:8" x14ac:dyDescent="0.4">
      <c r="A49" t="str">
        <f t="shared" si="1"/>
        <v>&lt;String name=</v>
      </c>
      <c r="B49" t="str">
        <f t="shared" si="2"/>
        <v>"</v>
      </c>
      <c r="C49" t="s">
        <v>43</v>
      </c>
      <c r="D49" t="str">
        <f t="shared" si="3"/>
        <v>"</v>
      </c>
      <c r="E49" t="str">
        <f t="shared" si="4"/>
        <v>&gt;</v>
      </c>
      <c r="F49" t="str">
        <f t="shared" si="7"/>
        <v>Semi Final</v>
      </c>
      <c r="G49" t="str">
        <f t="shared" si="5"/>
        <v>&lt;/String&gt;</v>
      </c>
      <c r="H49" t="str">
        <f t="shared" si="6"/>
        <v>&lt;String name="Semi Final"&gt;Semi Final&lt;/String&gt;</v>
      </c>
    </row>
    <row r="50" spans="1:8" x14ac:dyDescent="0.4">
      <c r="A50" t="str">
        <f t="shared" si="1"/>
        <v>&lt;String name=</v>
      </c>
      <c r="B50" t="str">
        <f t="shared" si="2"/>
        <v>"</v>
      </c>
      <c r="C50" t="s">
        <v>44</v>
      </c>
      <c r="D50" t="str">
        <f t="shared" si="3"/>
        <v>"</v>
      </c>
      <c r="E50" t="str">
        <f t="shared" si="4"/>
        <v>&gt;</v>
      </c>
      <c r="F50" t="str">
        <f t="shared" si="7"/>
        <v>Bronze</v>
      </c>
      <c r="G50" t="str">
        <f t="shared" si="5"/>
        <v>&lt;/String&gt;</v>
      </c>
      <c r="H50" t="str">
        <f t="shared" si="6"/>
        <v>&lt;String name="Bronze"&gt;Bronze&lt;/String&gt;</v>
      </c>
    </row>
    <row r="51" spans="1:8" x14ac:dyDescent="0.4">
      <c r="A51" t="str">
        <f t="shared" si="1"/>
        <v>&lt;String name=</v>
      </c>
      <c r="B51" t="str">
        <f t="shared" si="2"/>
        <v>"</v>
      </c>
      <c r="C51" t="s">
        <v>45</v>
      </c>
      <c r="D51" t="str">
        <f t="shared" si="3"/>
        <v>"</v>
      </c>
      <c r="E51" t="str">
        <f t="shared" si="4"/>
        <v>&gt;</v>
      </c>
      <c r="F51" t="str">
        <f t="shared" si="7"/>
        <v>Final</v>
      </c>
      <c r="G51" t="str">
        <f t="shared" si="5"/>
        <v>&lt;/String&gt;</v>
      </c>
      <c r="H51" t="str">
        <f t="shared" si="6"/>
        <v>&lt;String name="Final"&gt;Final&lt;/String&gt;</v>
      </c>
    </row>
    <row r="52" spans="1:8" x14ac:dyDescent="0.4">
      <c r="A52" t="str">
        <f t="shared" si="1"/>
        <v>&lt;String name=</v>
      </c>
      <c r="B52" t="str">
        <f t="shared" si="2"/>
        <v>"</v>
      </c>
      <c r="C52" t="s">
        <v>46</v>
      </c>
      <c r="D52" t="str">
        <f t="shared" si="3"/>
        <v>"</v>
      </c>
      <c r="E52" t="str">
        <f t="shared" si="4"/>
        <v>&gt;</v>
      </c>
      <c r="F52" t="str">
        <f t="shared" si="7"/>
        <v>Logo</v>
      </c>
      <c r="G52" t="str">
        <f t="shared" si="5"/>
        <v>&lt;/String&gt;</v>
      </c>
      <c r="H52" t="str">
        <f t="shared" si="6"/>
        <v>&lt;String name="Logo"&gt;Logo&lt;/String&gt;</v>
      </c>
    </row>
    <row r="53" spans="1:8" x14ac:dyDescent="0.4">
      <c r="A53" t="str">
        <f t="shared" si="1"/>
        <v>&lt;String name=</v>
      </c>
      <c r="B53" t="str">
        <f t="shared" si="2"/>
        <v>"</v>
      </c>
      <c r="C53" t="s">
        <v>47</v>
      </c>
      <c r="D53" t="str">
        <f t="shared" si="3"/>
        <v>"</v>
      </c>
      <c r="E53" t="str">
        <f t="shared" si="4"/>
        <v>&gt;</v>
      </c>
      <c r="F53" t="str">
        <f t="shared" si="7"/>
        <v>Contest Info</v>
      </c>
      <c r="G53" t="str">
        <f t="shared" si="5"/>
        <v>&lt;/String&gt;</v>
      </c>
      <c r="H53" t="str">
        <f t="shared" si="6"/>
        <v>&lt;String name="Contest Info"&gt;Contest Info&lt;/String&gt;</v>
      </c>
    </row>
    <row r="54" spans="1:8" x14ac:dyDescent="0.4">
      <c r="A54" t="str">
        <f t="shared" si="1"/>
        <v>&lt;String name=</v>
      </c>
      <c r="B54" t="str">
        <f t="shared" si="2"/>
        <v>"</v>
      </c>
      <c r="C54" t="s">
        <v>48</v>
      </c>
      <c r="D54" t="str">
        <f t="shared" si="3"/>
        <v>"</v>
      </c>
      <c r="E54" t="str">
        <f t="shared" si="4"/>
        <v>&gt;</v>
      </c>
      <c r="F54" t="str">
        <f t="shared" si="7"/>
        <v>White Info</v>
      </c>
      <c r="G54" t="str">
        <f t="shared" si="5"/>
        <v>&lt;/String&gt;</v>
      </c>
      <c r="H54" t="str">
        <f t="shared" si="6"/>
        <v>&lt;String name="White Info"&gt;White Info&lt;/String&gt;</v>
      </c>
    </row>
    <row r="55" spans="1:8" x14ac:dyDescent="0.4">
      <c r="A55" t="str">
        <f t="shared" si="1"/>
        <v>&lt;String name=</v>
      </c>
      <c r="B55" t="str">
        <f t="shared" si="2"/>
        <v>"</v>
      </c>
      <c r="C55" t="s">
        <v>49</v>
      </c>
      <c r="D55" t="str">
        <f t="shared" si="3"/>
        <v>"</v>
      </c>
      <c r="E55" t="str">
        <f t="shared" si="4"/>
        <v>&gt;</v>
      </c>
      <c r="F55" t="str">
        <f t="shared" si="7"/>
        <v>Blue Info</v>
      </c>
      <c r="G55" t="str">
        <f t="shared" si="5"/>
        <v>&lt;/String&gt;</v>
      </c>
      <c r="H55" t="str">
        <f t="shared" si="6"/>
        <v>&lt;String name="Blue Info"&gt;Blue Info&lt;/String&gt;</v>
      </c>
    </row>
    <row r="56" spans="1:8" x14ac:dyDescent="0.4">
      <c r="A56" t="str">
        <f t="shared" si="1"/>
        <v>&lt;String name=</v>
      </c>
      <c r="B56" t="str">
        <f t="shared" si="2"/>
        <v>"</v>
      </c>
      <c r="C56" t="s">
        <v>50</v>
      </c>
      <c r="D56" t="str">
        <f t="shared" si="3"/>
        <v>"</v>
      </c>
      <c r="E56" t="str">
        <f t="shared" si="4"/>
        <v>&gt;</v>
      </c>
      <c r="F56" t="str">
        <f t="shared" si="7"/>
        <v>Both Info</v>
      </c>
      <c r="G56" t="str">
        <f t="shared" si="5"/>
        <v>&lt;/String&gt;</v>
      </c>
      <c r="H56" t="str">
        <f t="shared" si="6"/>
        <v>&lt;String name="Both Info"&gt;Both Info&lt;/String&gt;</v>
      </c>
    </row>
    <row r="57" spans="1:8" x14ac:dyDescent="0.4">
      <c r="A57" t="str">
        <f t="shared" si="1"/>
        <v>&lt;String name=</v>
      </c>
      <c r="B57" t="str">
        <f t="shared" si="2"/>
        <v>"</v>
      </c>
      <c r="C57" t="s">
        <v>51</v>
      </c>
      <c r="D57" t="str">
        <f t="shared" si="3"/>
        <v>"</v>
      </c>
      <c r="E57" t="str">
        <f t="shared" si="4"/>
        <v>&gt;</v>
      </c>
      <c r="F57" t="str">
        <f t="shared" si="7"/>
        <v>Scoreboard</v>
      </c>
      <c r="G57" t="str">
        <f t="shared" si="5"/>
        <v>&lt;/String&gt;</v>
      </c>
      <c r="H57" t="str">
        <f t="shared" si="6"/>
        <v>&lt;String name="Scoreboard"&gt;Scoreboard&lt;/String&gt;</v>
      </c>
    </row>
    <row r="58" spans="1:8" x14ac:dyDescent="0.4">
      <c r="A58" t="str">
        <f t="shared" si="1"/>
        <v>&lt;String name=</v>
      </c>
      <c r="B58" t="str">
        <f t="shared" si="2"/>
        <v>"</v>
      </c>
      <c r="C58" t="s">
        <v>52</v>
      </c>
      <c r="D58" t="str">
        <f t="shared" si="3"/>
        <v>"</v>
      </c>
      <c r="E58" t="str">
        <f t="shared" si="4"/>
        <v>&gt;</v>
      </c>
      <c r="F58" t="str">
        <f t="shared" si="7"/>
        <v>Stopped</v>
      </c>
      <c r="G58" t="str">
        <f t="shared" si="5"/>
        <v>&lt;/String&gt;</v>
      </c>
      <c r="H58" t="str">
        <f t="shared" si="6"/>
        <v>&lt;String name="Stopped"&gt;Stopped&lt;/String&gt;</v>
      </c>
    </row>
    <row r="59" spans="1:8" x14ac:dyDescent="0.4">
      <c r="A59" t="str">
        <f t="shared" si="1"/>
        <v>&lt;String name=</v>
      </c>
      <c r="B59" t="str">
        <f t="shared" si="2"/>
        <v>"</v>
      </c>
      <c r="C59" t="s">
        <v>53</v>
      </c>
      <c r="D59" t="str">
        <f t="shared" si="3"/>
        <v>"</v>
      </c>
      <c r="E59" t="str">
        <f t="shared" si="4"/>
        <v>&gt;</v>
      </c>
      <c r="F59" t="str">
        <f t="shared" si="7"/>
        <v>Running</v>
      </c>
      <c r="G59" t="str">
        <f t="shared" si="5"/>
        <v>&lt;/String&gt;</v>
      </c>
      <c r="H59" t="str">
        <f t="shared" si="6"/>
        <v>&lt;String name="Running"&gt;Running&lt;/String&gt;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4B37-12F8-434C-989D-E01CA524D775}">
  <dimension ref="A1:H62"/>
  <sheetViews>
    <sheetView tabSelected="1" topLeftCell="A32" workbookViewId="0">
      <selection activeCell="H1" sqref="H1:H62"/>
    </sheetView>
  </sheetViews>
  <sheetFormatPr defaultRowHeight="14.6" x14ac:dyDescent="0.4"/>
  <cols>
    <col min="1" max="1" width="12.69140625" bestFit="1" customWidth="1"/>
    <col min="2" max="2" width="1.61328125" bestFit="1" customWidth="1"/>
    <col min="3" max="3" width="28.921875" bestFit="1" customWidth="1"/>
    <col min="4" max="4" width="1.61328125" bestFit="1" customWidth="1"/>
    <col min="5" max="5" width="1.84375" bestFit="1" customWidth="1"/>
    <col min="6" max="6" width="28.921875" bestFit="1" customWidth="1"/>
    <col min="7" max="7" width="8.3828125" bestFit="1" customWidth="1"/>
    <col min="8" max="8" width="88.23046875" customWidth="1"/>
  </cols>
  <sheetData>
    <row r="1" spans="1:8" x14ac:dyDescent="0.4">
      <c r="A1" t="s">
        <v>54</v>
      </c>
      <c r="H1" t="str">
        <f>A1</f>
        <v>&lt;?xml version="1.0" encoding="utf-8" ?&gt;</v>
      </c>
    </row>
    <row r="2" spans="1:8" x14ac:dyDescent="0.4">
      <c r="A2" t="s">
        <v>55</v>
      </c>
      <c r="H2" t="str">
        <f>A2</f>
        <v>&lt;Language&gt;</v>
      </c>
    </row>
    <row r="3" spans="1:8" x14ac:dyDescent="0.4">
      <c r="A3" t="str">
        <f>"&lt;String name="</f>
        <v>&lt;String name=</v>
      </c>
      <c r="B3" t="str">
        <f>CHAR(34)</f>
        <v>"</v>
      </c>
      <c r="C3" t="s">
        <v>3</v>
      </c>
      <c r="D3" t="str">
        <f>CHAR(34)</f>
        <v>"</v>
      </c>
      <c r="E3" t="str">
        <f>"&gt;"</f>
        <v>&gt;</v>
      </c>
      <c r="F3" t="s">
        <v>57</v>
      </c>
      <c r="G3" t="str">
        <f>"&lt;/String&gt;"</f>
        <v>&lt;/String&gt;</v>
      </c>
      <c r="H3" t="str">
        <f>_xlfn.CONCAT("    ",A3,B3,C3,D3,E3,F3,G3)</f>
        <v xml:space="preserve">    &lt;String name="Player"&gt;Joueur&lt;/String&gt;</v>
      </c>
    </row>
    <row r="4" spans="1:8" x14ac:dyDescent="0.4">
      <c r="A4" t="str">
        <f t="shared" ref="A4:A61" si="0">"&lt;String name="</f>
        <v>&lt;String name=</v>
      </c>
      <c r="B4" t="str">
        <f t="shared" ref="B4:B61" si="1">CHAR(34)</f>
        <v>"</v>
      </c>
      <c r="C4" t="s">
        <v>0</v>
      </c>
      <c r="D4" t="str">
        <f t="shared" ref="D4:D61" si="2">CHAR(34)</f>
        <v>"</v>
      </c>
      <c r="E4" t="str">
        <f t="shared" ref="E4:E61" si="3">"&gt;"</f>
        <v>&gt;</v>
      </c>
      <c r="F4" t="s">
        <v>58</v>
      </c>
      <c r="G4" t="str">
        <f t="shared" ref="G4:G61" si="4">"&lt;/String&gt;"</f>
        <v>&lt;/String&gt;</v>
      </c>
      <c r="H4" t="str">
        <f t="shared" ref="H4:H61" si="5">_xlfn.CONCAT("    ",A4,B4,C4,D4,E4,F4,G4)</f>
        <v xml:space="preserve">    &lt;String name="White"&gt;blanc&lt;/String&gt;</v>
      </c>
    </row>
    <row r="5" spans="1:8" x14ac:dyDescent="0.4">
      <c r="A5" t="str">
        <f t="shared" si="0"/>
        <v>&lt;String name=</v>
      </c>
      <c r="B5" t="str">
        <f t="shared" si="1"/>
        <v>"</v>
      </c>
      <c r="C5" t="s">
        <v>1</v>
      </c>
      <c r="D5" t="str">
        <f t="shared" si="2"/>
        <v>"</v>
      </c>
      <c r="E5" t="str">
        <f t="shared" si="3"/>
        <v>&gt;</v>
      </c>
      <c r="F5" t="s">
        <v>59</v>
      </c>
      <c r="G5" t="str">
        <f t="shared" si="4"/>
        <v>&lt;/String&gt;</v>
      </c>
      <c r="H5" t="str">
        <f t="shared" si="5"/>
        <v xml:space="preserve">    &lt;String name="Blue"&gt;Bleu&lt;/String&gt;</v>
      </c>
    </row>
    <row r="6" spans="1:8" x14ac:dyDescent="0.4">
      <c r="A6" t="str">
        <f t="shared" si="0"/>
        <v>&lt;String name=</v>
      </c>
      <c r="B6" t="str">
        <f t="shared" si="1"/>
        <v>"</v>
      </c>
      <c r="C6" t="s">
        <v>2</v>
      </c>
      <c r="D6" t="str">
        <f t="shared" si="2"/>
        <v>"</v>
      </c>
      <c r="E6" t="str">
        <f t="shared" si="3"/>
        <v>&gt;</v>
      </c>
      <c r="F6" t="s">
        <v>60</v>
      </c>
      <c r="G6" t="str">
        <f t="shared" si="4"/>
        <v>&lt;/String&gt;</v>
      </c>
      <c r="H6" t="str">
        <f t="shared" si="5"/>
        <v xml:space="preserve">    &lt;String name="Event ID"&gt;ID d'événement&lt;/String&gt;</v>
      </c>
    </row>
    <row r="7" spans="1:8" x14ac:dyDescent="0.4">
      <c r="A7" t="str">
        <f t="shared" si="0"/>
        <v>&lt;String name=</v>
      </c>
      <c r="B7" t="str">
        <f t="shared" si="1"/>
        <v>"</v>
      </c>
      <c r="C7" t="s">
        <v>4</v>
      </c>
      <c r="D7" t="str">
        <f t="shared" si="2"/>
        <v>"</v>
      </c>
      <c r="E7" t="str">
        <f t="shared" si="3"/>
        <v>&gt;</v>
      </c>
      <c r="F7" t="s">
        <v>61</v>
      </c>
      <c r="G7" t="str">
        <f t="shared" si="4"/>
        <v>&lt;/String&gt;</v>
      </c>
      <c r="H7" t="str">
        <f t="shared" si="5"/>
        <v xml:space="preserve">    &lt;String name="Gender"&gt;Le sexe&lt;/String&gt;</v>
      </c>
    </row>
    <row r="8" spans="1:8" x14ac:dyDescent="0.4">
      <c r="A8" t="str">
        <f t="shared" si="0"/>
        <v>&lt;String name=</v>
      </c>
      <c r="B8" t="str">
        <f t="shared" si="1"/>
        <v>"</v>
      </c>
      <c r="C8" t="s">
        <v>5</v>
      </c>
      <c r="D8" t="str">
        <f t="shared" si="2"/>
        <v>"</v>
      </c>
      <c r="E8" t="str">
        <f t="shared" si="3"/>
        <v>&gt;</v>
      </c>
      <c r="F8" t="s">
        <v>62</v>
      </c>
      <c r="G8" t="str">
        <f t="shared" si="4"/>
        <v>&lt;/String&gt;</v>
      </c>
      <c r="H8" t="str">
        <f t="shared" si="5"/>
        <v xml:space="preserve">    &lt;String name="Category"&gt;Catégorie&lt;/String&gt;</v>
      </c>
    </row>
    <row r="9" spans="1:8" x14ac:dyDescent="0.4">
      <c r="A9" t="str">
        <f t="shared" si="0"/>
        <v>&lt;String name=</v>
      </c>
      <c r="B9" t="str">
        <f t="shared" si="1"/>
        <v>"</v>
      </c>
      <c r="C9" t="s">
        <v>6</v>
      </c>
      <c r="D9" t="str">
        <f t="shared" si="2"/>
        <v>"</v>
      </c>
      <c r="E9" t="str">
        <f t="shared" si="3"/>
        <v>&gt;</v>
      </c>
      <c r="F9" t="s">
        <v>63</v>
      </c>
      <c r="G9" t="str">
        <f t="shared" si="4"/>
        <v>&lt;/String&gt;</v>
      </c>
      <c r="H9" t="str">
        <f t="shared" si="5"/>
        <v xml:space="preserve">    &lt;String name="Age Group"&gt;Tranche d'âge&lt;/String&gt;</v>
      </c>
    </row>
    <row r="10" spans="1:8" x14ac:dyDescent="0.4">
      <c r="A10" t="str">
        <f t="shared" si="0"/>
        <v>&lt;String name=</v>
      </c>
      <c r="B10" t="str">
        <f t="shared" si="1"/>
        <v>"</v>
      </c>
      <c r="C10" t="s">
        <v>7</v>
      </c>
      <c r="D10" t="str">
        <f t="shared" si="2"/>
        <v>"</v>
      </c>
      <c r="E10" t="str">
        <f t="shared" si="3"/>
        <v>&gt;</v>
      </c>
      <c r="F10" t="s">
        <v>64</v>
      </c>
      <c r="G10" t="str">
        <f t="shared" si="4"/>
        <v>&lt;/String&gt;</v>
      </c>
      <c r="H10" t="str">
        <f t="shared" si="5"/>
        <v xml:space="preserve">    &lt;String name="Round"&gt;Rond&lt;/String&gt;</v>
      </c>
    </row>
    <row r="11" spans="1:8" x14ac:dyDescent="0.4">
      <c r="A11" t="str">
        <f t="shared" si="0"/>
        <v>&lt;String name=</v>
      </c>
      <c r="B11" t="str">
        <f t="shared" si="1"/>
        <v>"</v>
      </c>
      <c r="C11" t="s">
        <v>8</v>
      </c>
      <c r="D11" t="str">
        <f t="shared" si="2"/>
        <v>"</v>
      </c>
      <c r="E11" t="str">
        <f t="shared" si="3"/>
        <v>&gt;</v>
      </c>
      <c r="F11" t="s">
        <v>65</v>
      </c>
      <c r="G11" t="str">
        <f t="shared" si="4"/>
        <v>&lt;/String&gt;</v>
      </c>
      <c r="H11" t="str">
        <f t="shared" si="5"/>
        <v xml:space="preserve">    &lt;String name="Contest ID"&gt;Identifiant du concours&lt;/String&gt;</v>
      </c>
    </row>
    <row r="12" spans="1:8" x14ac:dyDescent="0.4">
      <c r="A12" t="str">
        <f t="shared" si="0"/>
        <v>&lt;String name=</v>
      </c>
      <c r="B12" t="str">
        <f t="shared" si="1"/>
        <v>"</v>
      </c>
      <c r="C12" t="s">
        <v>9</v>
      </c>
      <c r="D12" t="str">
        <f t="shared" si="2"/>
        <v>"</v>
      </c>
      <c r="E12" t="str">
        <f t="shared" si="3"/>
        <v>&gt;</v>
      </c>
      <c r="F12" t="s">
        <v>66</v>
      </c>
      <c r="G12" t="str">
        <f t="shared" si="4"/>
        <v>&lt;/String&gt;</v>
      </c>
      <c r="H12" t="str">
        <f t="shared" si="5"/>
        <v xml:space="preserve">    &lt;String name="Timer State"&gt;État du minuteur&lt;/String&gt;</v>
      </c>
    </row>
    <row r="13" spans="1:8" x14ac:dyDescent="0.4">
      <c r="A13" t="str">
        <f t="shared" si="0"/>
        <v>&lt;String name=</v>
      </c>
      <c r="B13" t="str">
        <f t="shared" si="1"/>
        <v>"</v>
      </c>
      <c r="C13" t="s">
        <v>10</v>
      </c>
      <c r="D13" t="str">
        <f t="shared" si="2"/>
        <v>"</v>
      </c>
      <c r="E13" t="str">
        <f t="shared" si="3"/>
        <v>&gt;</v>
      </c>
      <c r="F13" t="s">
        <v>67</v>
      </c>
      <c r="G13" t="str">
        <f t="shared" si="4"/>
        <v>&lt;/String&gt;</v>
      </c>
      <c r="H13" t="str">
        <f t="shared" si="5"/>
        <v xml:space="preserve">    &lt;String name="Timer"&gt;Minuteur&lt;/String&gt;</v>
      </c>
    </row>
    <row r="14" spans="1:8" x14ac:dyDescent="0.4">
      <c r="A14" t="str">
        <f t="shared" si="0"/>
        <v>&lt;String name=</v>
      </c>
      <c r="B14" t="str">
        <f t="shared" si="1"/>
        <v>"</v>
      </c>
      <c r="C14" t="s">
        <v>11</v>
      </c>
      <c r="D14" t="str">
        <f t="shared" si="2"/>
        <v>"</v>
      </c>
      <c r="E14" t="str">
        <f t="shared" si="3"/>
        <v>&gt;</v>
      </c>
      <c r="F14" t="s">
        <v>11</v>
      </c>
      <c r="G14" t="str">
        <f t="shared" si="4"/>
        <v>&lt;/String&gt;</v>
      </c>
      <c r="H14" t="str">
        <f t="shared" si="5"/>
        <v xml:space="preserve">    &lt;String name="Minute"&gt;Minute&lt;/String&gt;</v>
      </c>
    </row>
    <row r="15" spans="1:8" x14ac:dyDescent="0.4">
      <c r="A15" t="str">
        <f t="shared" si="0"/>
        <v>&lt;String name=</v>
      </c>
      <c r="B15" t="str">
        <f t="shared" si="1"/>
        <v>"</v>
      </c>
      <c r="C15" t="s">
        <v>12</v>
      </c>
      <c r="D15" t="str">
        <f t="shared" si="2"/>
        <v>"</v>
      </c>
      <c r="E15" t="str">
        <f t="shared" si="3"/>
        <v>&gt;</v>
      </c>
      <c r="F15" t="s">
        <v>68</v>
      </c>
      <c r="G15" t="str">
        <f t="shared" si="4"/>
        <v>&lt;/String&gt;</v>
      </c>
      <c r="H15" t="str">
        <f t="shared" si="5"/>
        <v xml:space="preserve">    &lt;String name="Second"&gt;Seconde&lt;/String&gt;</v>
      </c>
    </row>
    <row r="16" spans="1:8" x14ac:dyDescent="0.4">
      <c r="A16" t="str">
        <f t="shared" si="0"/>
        <v>&lt;String name=</v>
      </c>
      <c r="B16" t="str">
        <f t="shared" si="1"/>
        <v>"</v>
      </c>
      <c r="C16" t="s">
        <v>13</v>
      </c>
      <c r="D16" t="str">
        <f t="shared" si="2"/>
        <v>"</v>
      </c>
      <c r="E16" t="str">
        <f t="shared" si="3"/>
        <v>&gt;</v>
      </c>
      <c r="F16" t="s">
        <v>13</v>
      </c>
      <c r="G16" t="str">
        <f t="shared" si="4"/>
        <v>&lt;/String&gt;</v>
      </c>
      <c r="H16" t="str">
        <f t="shared" si="5"/>
        <v xml:space="preserve">    &lt;String name="Nation"&gt;Nation&lt;/String&gt;</v>
      </c>
    </row>
    <row r="17" spans="1:8" x14ac:dyDescent="0.4">
      <c r="A17" t="str">
        <f t="shared" si="0"/>
        <v>&lt;String name=</v>
      </c>
      <c r="B17" t="str">
        <f t="shared" si="1"/>
        <v>"</v>
      </c>
      <c r="C17" t="s">
        <v>14</v>
      </c>
      <c r="D17" t="str">
        <f t="shared" si="2"/>
        <v>"</v>
      </c>
      <c r="E17" t="str">
        <f t="shared" si="3"/>
        <v>&gt;</v>
      </c>
      <c r="F17" t="s">
        <v>69</v>
      </c>
      <c r="G17" t="str">
        <f t="shared" si="4"/>
        <v>&lt;/String&gt;</v>
      </c>
      <c r="H17" t="str">
        <f t="shared" si="5"/>
        <v xml:space="preserve">    &lt;String name="White ID"&gt;ID blanc&lt;/String&gt;</v>
      </c>
    </row>
    <row r="18" spans="1:8" x14ac:dyDescent="0.4">
      <c r="A18" t="str">
        <f t="shared" si="0"/>
        <v>&lt;String name=</v>
      </c>
      <c r="B18" t="str">
        <f t="shared" si="1"/>
        <v>"</v>
      </c>
      <c r="C18" t="s">
        <v>15</v>
      </c>
      <c r="D18" t="str">
        <f t="shared" si="2"/>
        <v>"</v>
      </c>
      <c r="E18" t="str">
        <f t="shared" si="3"/>
        <v>&gt;</v>
      </c>
      <c r="F18" t="s">
        <v>15</v>
      </c>
      <c r="G18" t="str">
        <f t="shared" si="4"/>
        <v>&lt;/String&gt;</v>
      </c>
      <c r="H18" t="str">
        <f t="shared" si="5"/>
        <v xml:space="preserve">    &lt;String name="Blue ID"&gt;Blue ID&lt;/String&gt;</v>
      </c>
    </row>
    <row r="19" spans="1:8" x14ac:dyDescent="0.4">
      <c r="A19" t="str">
        <f t="shared" si="0"/>
        <v>&lt;String name=</v>
      </c>
      <c r="B19" t="str">
        <f t="shared" si="1"/>
        <v>"</v>
      </c>
      <c r="C19" t="s">
        <v>16</v>
      </c>
      <c r="D19" t="str">
        <f t="shared" si="2"/>
        <v>"</v>
      </c>
      <c r="E19" t="str">
        <f t="shared" si="3"/>
        <v>&gt;</v>
      </c>
      <c r="F19" t="s">
        <v>70</v>
      </c>
      <c r="G19" t="str">
        <f t="shared" si="4"/>
        <v>&lt;/String&gt;</v>
      </c>
      <c r="H19" t="str">
        <f t="shared" si="5"/>
        <v xml:space="preserve">    &lt;String name="White Short Name"&gt;Nom court blanc&lt;/String&gt;</v>
      </c>
    </row>
    <row r="20" spans="1:8" x14ac:dyDescent="0.4">
      <c r="A20" t="str">
        <f t="shared" si="0"/>
        <v>&lt;String name=</v>
      </c>
      <c r="B20" t="str">
        <f t="shared" si="1"/>
        <v>"</v>
      </c>
      <c r="C20" t="s">
        <v>17</v>
      </c>
      <c r="D20" t="str">
        <f t="shared" si="2"/>
        <v>"</v>
      </c>
      <c r="E20" t="str">
        <f t="shared" si="3"/>
        <v>&gt;</v>
      </c>
      <c r="F20" t="s">
        <v>71</v>
      </c>
      <c r="G20" t="str">
        <f t="shared" si="4"/>
        <v>&lt;/String&gt;</v>
      </c>
      <c r="H20" t="str">
        <f t="shared" si="5"/>
        <v xml:space="preserve">    &lt;String name="White Long Name"&gt;Nom long blanc&lt;/String&gt;</v>
      </c>
    </row>
    <row r="21" spans="1:8" x14ac:dyDescent="0.4">
      <c r="A21" t="str">
        <f t="shared" si="0"/>
        <v>&lt;String name=</v>
      </c>
      <c r="B21" t="str">
        <f t="shared" si="1"/>
        <v>"</v>
      </c>
      <c r="C21" t="s">
        <v>18</v>
      </c>
      <c r="D21" t="str">
        <f t="shared" si="2"/>
        <v>"</v>
      </c>
      <c r="E21" t="str">
        <f t="shared" si="3"/>
        <v>&gt;</v>
      </c>
      <c r="F21" t="s">
        <v>72</v>
      </c>
      <c r="G21" t="str">
        <f t="shared" si="4"/>
        <v>&lt;/String&gt;</v>
      </c>
      <c r="H21" t="str">
        <f t="shared" si="5"/>
        <v xml:space="preserve">    &lt;String name="Blue Short Name"&gt;Nom court bleu&lt;/String&gt;</v>
      </c>
    </row>
    <row r="22" spans="1:8" x14ac:dyDescent="0.4">
      <c r="A22" t="str">
        <f t="shared" si="0"/>
        <v>&lt;String name=</v>
      </c>
      <c r="B22" t="str">
        <f t="shared" si="1"/>
        <v>"</v>
      </c>
      <c r="C22" t="s">
        <v>19</v>
      </c>
      <c r="D22" t="str">
        <f t="shared" si="2"/>
        <v>"</v>
      </c>
      <c r="E22" t="str">
        <f t="shared" si="3"/>
        <v>&gt;</v>
      </c>
      <c r="F22" t="s">
        <v>73</v>
      </c>
      <c r="G22" t="str">
        <f t="shared" si="4"/>
        <v>&lt;/String&gt;</v>
      </c>
      <c r="H22" t="str">
        <f t="shared" si="5"/>
        <v xml:space="preserve">    &lt;String name="Blue Long Name"&gt;Nom long bleu&lt;/String&gt;</v>
      </c>
    </row>
    <row r="23" spans="1:8" x14ac:dyDescent="0.4">
      <c r="A23" t="str">
        <f t="shared" si="0"/>
        <v>&lt;String name=</v>
      </c>
      <c r="B23" t="str">
        <f t="shared" si="1"/>
        <v>"</v>
      </c>
      <c r="C23" t="s">
        <v>20</v>
      </c>
      <c r="D23" t="str">
        <f t="shared" si="2"/>
        <v>"</v>
      </c>
      <c r="E23" t="str">
        <f t="shared" si="3"/>
        <v>&gt;</v>
      </c>
      <c r="F23" t="s">
        <v>74</v>
      </c>
      <c r="G23" t="str">
        <f t="shared" si="4"/>
        <v>&lt;/String&gt;</v>
      </c>
      <c r="H23" t="str">
        <f t="shared" si="5"/>
        <v xml:space="preserve">    &lt;String name="White World Ranking List Position"&gt;Blanc Classement au classement mondial&lt;/String&gt;</v>
      </c>
    </row>
    <row r="24" spans="1:8" x14ac:dyDescent="0.4">
      <c r="A24" t="str">
        <f t="shared" si="0"/>
        <v>&lt;String name=</v>
      </c>
      <c r="B24" t="str">
        <f t="shared" si="1"/>
        <v>"</v>
      </c>
      <c r="C24" t="s">
        <v>21</v>
      </c>
      <c r="D24" t="str">
        <f t="shared" si="2"/>
        <v>"</v>
      </c>
      <c r="E24" t="str">
        <f t="shared" si="3"/>
        <v>&gt;</v>
      </c>
      <c r="F24" t="s">
        <v>75</v>
      </c>
      <c r="G24" t="str">
        <f t="shared" si="4"/>
        <v>&lt;/String&gt;</v>
      </c>
      <c r="H24" t="str">
        <f t="shared" si="5"/>
        <v xml:space="preserve">    &lt;String name="Blue World Ranking List Position"&gt;Classement au classement mondial bleu&lt;/String&gt;</v>
      </c>
    </row>
    <row r="25" spans="1:8" x14ac:dyDescent="0.4">
      <c r="A25" t="str">
        <f t="shared" si="0"/>
        <v>&lt;String name=</v>
      </c>
      <c r="B25" t="str">
        <f t="shared" si="1"/>
        <v>"</v>
      </c>
      <c r="C25" t="s">
        <v>22</v>
      </c>
      <c r="D25" t="str">
        <f t="shared" si="2"/>
        <v>"</v>
      </c>
      <c r="E25" t="str">
        <f t="shared" si="3"/>
        <v>&gt;</v>
      </c>
      <c r="F25" t="s">
        <v>22</v>
      </c>
      <c r="G25" t="str">
        <f t="shared" si="4"/>
        <v>&lt;/String&gt;</v>
      </c>
      <c r="H25" t="str">
        <f t="shared" si="5"/>
        <v xml:space="preserve">    &lt;String name="Ippon White"&gt;Ippon White&lt;/String&gt;</v>
      </c>
    </row>
    <row r="26" spans="1:8" x14ac:dyDescent="0.4">
      <c r="A26" t="str">
        <f t="shared" si="0"/>
        <v>&lt;String name=</v>
      </c>
      <c r="B26" t="str">
        <f t="shared" si="1"/>
        <v>"</v>
      </c>
      <c r="C26" t="s">
        <v>23</v>
      </c>
      <c r="D26" t="str">
        <f t="shared" si="2"/>
        <v>"</v>
      </c>
      <c r="E26" t="str">
        <f t="shared" si="3"/>
        <v>&gt;</v>
      </c>
      <c r="F26" t="s">
        <v>23</v>
      </c>
      <c r="G26" t="str">
        <f t="shared" si="4"/>
        <v>&lt;/String&gt;</v>
      </c>
      <c r="H26" t="str">
        <f t="shared" si="5"/>
        <v xml:space="preserve">    &lt;String name="Ippon Blue"&gt;Ippon Blue&lt;/String&gt;</v>
      </c>
    </row>
    <row r="27" spans="1:8" x14ac:dyDescent="0.4">
      <c r="A27" t="str">
        <f t="shared" si="0"/>
        <v>&lt;String name=</v>
      </c>
      <c r="B27" t="str">
        <f t="shared" si="1"/>
        <v>"</v>
      </c>
      <c r="C27" t="s">
        <v>26</v>
      </c>
      <c r="D27" t="str">
        <f t="shared" si="2"/>
        <v>"</v>
      </c>
      <c r="E27" t="str">
        <f t="shared" si="3"/>
        <v>&gt;</v>
      </c>
      <c r="F27" t="s">
        <v>76</v>
      </c>
      <c r="G27" t="str">
        <f t="shared" si="4"/>
        <v>&lt;/String&gt;</v>
      </c>
      <c r="H27" t="str">
        <f t="shared" si="5"/>
        <v xml:space="preserve">    &lt;String name="WazaAri White"&gt;WazaAri Blanc&lt;/String&gt;</v>
      </c>
    </row>
    <row r="28" spans="1:8" x14ac:dyDescent="0.4">
      <c r="A28" t="str">
        <f t="shared" si="0"/>
        <v>&lt;String name=</v>
      </c>
      <c r="B28" t="str">
        <f t="shared" si="1"/>
        <v>"</v>
      </c>
      <c r="C28" t="s">
        <v>27</v>
      </c>
      <c r="D28" t="str">
        <f t="shared" si="2"/>
        <v>"</v>
      </c>
      <c r="E28" t="str">
        <f t="shared" si="3"/>
        <v>&gt;</v>
      </c>
      <c r="F28" t="s">
        <v>27</v>
      </c>
      <c r="G28" t="str">
        <f t="shared" si="4"/>
        <v>&lt;/String&gt;</v>
      </c>
      <c r="H28" t="str">
        <f t="shared" si="5"/>
        <v xml:space="preserve">    &lt;String name="WazaAri Blue"&gt;WazaAri Blue&lt;/String&gt;</v>
      </c>
    </row>
    <row r="29" spans="1:8" x14ac:dyDescent="0.4">
      <c r="A29" t="str">
        <f t="shared" si="0"/>
        <v>&lt;String name=</v>
      </c>
      <c r="B29" t="str">
        <f t="shared" si="1"/>
        <v>"</v>
      </c>
      <c r="C29" t="s">
        <v>24</v>
      </c>
      <c r="D29" t="str">
        <f t="shared" si="2"/>
        <v>"</v>
      </c>
      <c r="E29" t="str">
        <f t="shared" si="3"/>
        <v>&gt;</v>
      </c>
      <c r="F29" t="s">
        <v>24</v>
      </c>
      <c r="G29" t="str">
        <f t="shared" si="4"/>
        <v>&lt;/String&gt;</v>
      </c>
      <c r="H29" t="str">
        <f t="shared" si="5"/>
        <v xml:space="preserve">    &lt;String name="Shido White"&gt;Shido White&lt;/String&gt;</v>
      </c>
    </row>
    <row r="30" spans="1:8" x14ac:dyDescent="0.4">
      <c r="A30" t="str">
        <f t="shared" si="0"/>
        <v>&lt;String name=</v>
      </c>
      <c r="B30" t="str">
        <f t="shared" si="1"/>
        <v>"</v>
      </c>
      <c r="C30" t="s">
        <v>25</v>
      </c>
      <c r="D30" t="str">
        <f t="shared" si="2"/>
        <v>"</v>
      </c>
      <c r="E30" t="str">
        <f t="shared" si="3"/>
        <v>&gt;</v>
      </c>
      <c r="F30" t="s">
        <v>25</v>
      </c>
      <c r="G30" t="str">
        <f t="shared" si="4"/>
        <v>&lt;/String&gt;</v>
      </c>
      <c r="H30" t="str">
        <f t="shared" si="5"/>
        <v xml:space="preserve">    &lt;String name="Shido Blue"&gt;Shido Blue&lt;/String&gt;</v>
      </c>
    </row>
    <row r="31" spans="1:8" x14ac:dyDescent="0.4">
      <c r="A31" t="str">
        <f t="shared" si="0"/>
        <v>&lt;String name=</v>
      </c>
      <c r="B31" t="str">
        <f t="shared" si="1"/>
        <v>"</v>
      </c>
      <c r="C31" t="s">
        <v>28</v>
      </c>
      <c r="D31" t="str">
        <f t="shared" si="2"/>
        <v>"</v>
      </c>
      <c r="E31" t="str">
        <f t="shared" si="3"/>
        <v>&gt;</v>
      </c>
      <c r="F31" t="s">
        <v>77</v>
      </c>
      <c r="G31" t="str">
        <f t="shared" si="4"/>
        <v>&lt;/String&gt;</v>
      </c>
      <c r="H31" t="str">
        <f t="shared" si="5"/>
        <v xml:space="preserve">    &lt;String name="Osaekomi Timer"&gt;Osaekomi Minuteur&lt;/String&gt;</v>
      </c>
    </row>
    <row r="32" spans="1:8" x14ac:dyDescent="0.4">
      <c r="A32" t="str">
        <f t="shared" si="0"/>
        <v>&lt;String name=</v>
      </c>
      <c r="B32" t="str">
        <f t="shared" si="1"/>
        <v>"</v>
      </c>
      <c r="C32" t="s">
        <v>29</v>
      </c>
      <c r="D32" t="str">
        <f t="shared" si="2"/>
        <v>"</v>
      </c>
      <c r="E32" t="str">
        <f t="shared" si="3"/>
        <v>&gt;</v>
      </c>
      <c r="F32" t="s">
        <v>78</v>
      </c>
      <c r="G32" t="str">
        <f t="shared" si="4"/>
        <v>&lt;/String&gt;</v>
      </c>
      <c r="H32" t="str">
        <f t="shared" si="5"/>
        <v xml:space="preserve">    &lt;String name="Osaekomi Timer White"&gt;Osaekomi Minuteur Blanc&lt;/String&gt;</v>
      </c>
    </row>
    <row r="33" spans="1:8" x14ac:dyDescent="0.4">
      <c r="A33" t="str">
        <f t="shared" si="0"/>
        <v>&lt;String name=</v>
      </c>
      <c r="B33" t="str">
        <f t="shared" si="1"/>
        <v>"</v>
      </c>
      <c r="C33" t="s">
        <v>30</v>
      </c>
      <c r="D33" t="str">
        <f t="shared" si="2"/>
        <v>"</v>
      </c>
      <c r="E33" t="str">
        <f t="shared" si="3"/>
        <v>&gt;</v>
      </c>
      <c r="F33" t="s">
        <v>79</v>
      </c>
      <c r="G33" t="str">
        <f t="shared" si="4"/>
        <v>&lt;/String&gt;</v>
      </c>
      <c r="H33" t="str">
        <f t="shared" si="5"/>
        <v xml:space="preserve">    &lt;String name="Osaekomi Timer Blue"&gt;Osaekomi Minuteur Bleu&lt;/String&gt;</v>
      </c>
    </row>
    <row r="34" spans="1:8" x14ac:dyDescent="0.4">
      <c r="A34" t="str">
        <f t="shared" si="0"/>
        <v>&lt;String name=</v>
      </c>
      <c r="B34" t="str">
        <f t="shared" si="1"/>
        <v>"</v>
      </c>
      <c r="C34" t="s">
        <v>31</v>
      </c>
      <c r="D34" t="str">
        <f t="shared" si="2"/>
        <v>"</v>
      </c>
      <c r="E34" t="str">
        <f t="shared" si="3"/>
        <v>&gt;</v>
      </c>
      <c r="F34" t="s">
        <v>80</v>
      </c>
      <c r="G34" t="str">
        <f t="shared" si="4"/>
        <v>&lt;/String&gt;</v>
      </c>
      <c r="H34" t="str">
        <f t="shared" si="5"/>
        <v xml:space="preserve">    &lt;String name="Team Score White"&gt;Score d'équipe blanc&lt;/String&gt;</v>
      </c>
    </row>
    <row r="35" spans="1:8" x14ac:dyDescent="0.4">
      <c r="A35" t="str">
        <f t="shared" si="0"/>
        <v>&lt;String name=</v>
      </c>
      <c r="B35" t="str">
        <f t="shared" si="1"/>
        <v>"</v>
      </c>
      <c r="C35" t="s">
        <v>32</v>
      </c>
      <c r="D35" t="str">
        <f t="shared" si="2"/>
        <v>"</v>
      </c>
      <c r="E35" t="str">
        <f t="shared" si="3"/>
        <v>&gt;</v>
      </c>
      <c r="F35" t="s">
        <v>81</v>
      </c>
      <c r="G35" t="str">
        <f t="shared" si="4"/>
        <v>&lt;/String&gt;</v>
      </c>
      <c r="H35" t="str">
        <f t="shared" si="5"/>
        <v xml:space="preserve">    &lt;String name="Team Score Blue"&gt;Score d'équipe bleu&lt;/String&gt;</v>
      </c>
    </row>
    <row r="36" spans="1:8" x14ac:dyDescent="0.4">
      <c r="A36" t="str">
        <f t="shared" si="0"/>
        <v>&lt;String name=</v>
      </c>
      <c r="B36" t="str">
        <f t="shared" si="1"/>
        <v>"</v>
      </c>
      <c r="C36" t="s">
        <v>33</v>
      </c>
      <c r="D36" t="str">
        <f t="shared" si="2"/>
        <v>"</v>
      </c>
      <c r="E36" t="str">
        <f t="shared" si="3"/>
        <v>&gt;</v>
      </c>
      <c r="F36" t="s">
        <v>82</v>
      </c>
      <c r="G36" t="str">
        <f t="shared" si="4"/>
        <v>&lt;/String&gt;</v>
      </c>
      <c r="H36" t="str">
        <f t="shared" si="5"/>
        <v xml:space="preserve">    &lt;String name="Golden Score"&gt;Score d'or&lt;/String&gt;</v>
      </c>
    </row>
    <row r="37" spans="1:8" x14ac:dyDescent="0.4">
      <c r="A37" t="str">
        <f t="shared" si="0"/>
        <v>&lt;String name=</v>
      </c>
      <c r="B37" t="str">
        <f t="shared" si="1"/>
        <v>"</v>
      </c>
      <c r="C37" t="s">
        <v>34</v>
      </c>
      <c r="D37" t="str">
        <f t="shared" si="2"/>
        <v>"</v>
      </c>
      <c r="E37" t="str">
        <f t="shared" si="3"/>
        <v>&gt;</v>
      </c>
      <c r="F37" t="s">
        <v>83</v>
      </c>
      <c r="G37" t="str">
        <f t="shared" si="4"/>
        <v>&lt;/String&gt;</v>
      </c>
      <c r="H37" t="str">
        <f t="shared" si="5"/>
        <v xml:space="preserve">    &lt;String name="Winner"&gt;Gagnant&lt;/String&gt;</v>
      </c>
    </row>
    <row r="38" spans="1:8" x14ac:dyDescent="0.4">
      <c r="A38" t="str">
        <f t="shared" si="0"/>
        <v>&lt;String name=</v>
      </c>
      <c r="B38" t="str">
        <f t="shared" si="1"/>
        <v>"</v>
      </c>
      <c r="C38" t="s">
        <v>35</v>
      </c>
      <c r="D38" t="str">
        <f t="shared" si="2"/>
        <v>"</v>
      </c>
      <c r="E38" t="str">
        <f t="shared" si="3"/>
        <v>&gt;</v>
      </c>
      <c r="F38" t="s">
        <v>84</v>
      </c>
      <c r="G38" t="str">
        <f t="shared" si="4"/>
        <v>&lt;/String&gt;</v>
      </c>
      <c r="H38" t="str">
        <f t="shared" si="5"/>
        <v xml:space="preserve">    &lt;String name="Referee ID"&gt;ID de l'arbitre&lt;/String&gt;</v>
      </c>
    </row>
    <row r="39" spans="1:8" x14ac:dyDescent="0.4">
      <c r="A39" t="str">
        <f t="shared" si="0"/>
        <v>&lt;String name=</v>
      </c>
      <c r="B39" t="str">
        <f t="shared" si="1"/>
        <v>"</v>
      </c>
      <c r="C39" t="s">
        <v>36</v>
      </c>
      <c r="D39" t="str">
        <f t="shared" si="2"/>
        <v>"</v>
      </c>
      <c r="E39" t="str">
        <f t="shared" si="3"/>
        <v>&gt;</v>
      </c>
      <c r="F39" t="s">
        <v>85</v>
      </c>
      <c r="G39" t="str">
        <f t="shared" si="4"/>
        <v>&lt;/String&gt;</v>
      </c>
      <c r="H39" t="str">
        <f t="shared" si="5"/>
        <v xml:space="preserve">    &lt;String name="Judge 1 ID"&gt;Juge 1 ID&lt;/String&gt;</v>
      </c>
    </row>
    <row r="40" spans="1:8" x14ac:dyDescent="0.4">
      <c r="A40" t="str">
        <f t="shared" si="0"/>
        <v>&lt;String name=</v>
      </c>
      <c r="B40" t="str">
        <f t="shared" si="1"/>
        <v>"</v>
      </c>
      <c r="C40" t="s">
        <v>37</v>
      </c>
      <c r="D40" t="str">
        <f t="shared" si="2"/>
        <v>"</v>
      </c>
      <c r="E40" t="str">
        <f t="shared" si="3"/>
        <v>&gt;</v>
      </c>
      <c r="F40" t="s">
        <v>86</v>
      </c>
      <c r="G40" t="str">
        <f t="shared" si="4"/>
        <v>&lt;/String&gt;</v>
      </c>
      <c r="H40" t="str">
        <f t="shared" si="5"/>
        <v xml:space="preserve">    &lt;String name="Judge 2 ID"&gt;Juge 2 ID&lt;/String&gt;</v>
      </c>
    </row>
    <row r="41" spans="1:8" x14ac:dyDescent="0.4">
      <c r="A41" t="str">
        <f t="shared" si="0"/>
        <v>&lt;String name=</v>
      </c>
      <c r="B41" t="str">
        <f t="shared" si="1"/>
        <v>"</v>
      </c>
      <c r="C41" t="s">
        <v>38</v>
      </c>
      <c r="D41" t="str">
        <f t="shared" si="2"/>
        <v>"</v>
      </c>
      <c r="E41" t="str">
        <f t="shared" si="3"/>
        <v>&gt;</v>
      </c>
      <c r="F41" t="s">
        <v>87</v>
      </c>
      <c r="G41" t="str">
        <f t="shared" si="4"/>
        <v>&lt;/String&gt;</v>
      </c>
      <c r="H41" t="str">
        <f t="shared" si="5"/>
        <v xml:space="preserve">    &lt;String name="Mat Number"&gt;Numéro de tapis&lt;/String&gt;</v>
      </c>
    </row>
    <row r="42" spans="1:8" x14ac:dyDescent="0.4">
      <c r="A42" t="str">
        <f t="shared" si="0"/>
        <v>&lt;String name=</v>
      </c>
      <c r="B42" t="str">
        <f t="shared" si="1"/>
        <v>"</v>
      </c>
      <c r="C42" t="s">
        <v>39</v>
      </c>
      <c r="D42" t="str">
        <f t="shared" si="2"/>
        <v>"</v>
      </c>
      <c r="E42" t="str">
        <f t="shared" si="3"/>
        <v>&gt;</v>
      </c>
      <c r="F42" t="s">
        <v>88</v>
      </c>
      <c r="G42" t="str">
        <f t="shared" si="4"/>
        <v>&lt;/String&gt;</v>
      </c>
      <c r="H42" t="str">
        <f t="shared" si="5"/>
        <v xml:space="preserve">    &lt;String name="Display Mode"&gt;Mode d'affichage&lt;/String&gt;</v>
      </c>
    </row>
    <row r="43" spans="1:8" x14ac:dyDescent="0.4">
      <c r="A43" t="str">
        <f t="shared" si="0"/>
        <v>&lt;String name=</v>
      </c>
      <c r="B43" t="str">
        <f t="shared" si="1"/>
        <v>"</v>
      </c>
      <c r="C43" t="s">
        <v>100</v>
      </c>
      <c r="D43" t="str">
        <f t="shared" si="2"/>
        <v>"</v>
      </c>
      <c r="E43" t="str">
        <f t="shared" si="3"/>
        <v>&gt;</v>
      </c>
      <c r="F43" t="s">
        <v>105</v>
      </c>
      <c r="G43" t="str">
        <f t="shared" si="4"/>
        <v>&lt;/String&gt;</v>
      </c>
      <c r="H43" t="str">
        <f t="shared" si="5"/>
        <v xml:space="preserve">    &lt;String name="Men"&gt;Hommes&lt;/String&gt;</v>
      </c>
    </row>
    <row r="44" spans="1:8" x14ac:dyDescent="0.4">
      <c r="A44" t="str">
        <f t="shared" si="0"/>
        <v>&lt;String name=</v>
      </c>
      <c r="B44" t="str">
        <f t="shared" si="1"/>
        <v>"</v>
      </c>
      <c r="C44" t="s">
        <v>101</v>
      </c>
      <c r="D44" t="str">
        <f t="shared" si="2"/>
        <v>"</v>
      </c>
      <c r="E44" t="str">
        <f t="shared" si="3"/>
        <v>&gt;</v>
      </c>
      <c r="F44" t="s">
        <v>106</v>
      </c>
      <c r="G44" t="str">
        <f t="shared" si="4"/>
        <v>&lt;/String&gt;</v>
      </c>
      <c r="H44" t="str">
        <f t="shared" si="5"/>
        <v xml:space="preserve">    &lt;String name="Women"&gt;Femmes&lt;/String&gt;</v>
      </c>
    </row>
    <row r="45" spans="1:8" x14ac:dyDescent="0.4">
      <c r="A45" t="str">
        <f t="shared" si="0"/>
        <v>&lt;String name=</v>
      </c>
      <c r="B45" t="str">
        <f t="shared" si="1"/>
        <v>"</v>
      </c>
      <c r="C45" t="s">
        <v>102</v>
      </c>
      <c r="D45" t="str">
        <f t="shared" si="2"/>
        <v>"</v>
      </c>
      <c r="E45" t="str">
        <f t="shared" si="3"/>
        <v>&gt;</v>
      </c>
      <c r="F45" t="s">
        <v>102</v>
      </c>
      <c r="G45" t="str">
        <f t="shared" si="4"/>
        <v>&lt;/String&gt;</v>
      </c>
      <c r="H45" t="str">
        <f t="shared" si="5"/>
        <v xml:space="preserve">    &lt;String name="Cadets"&gt;Cadets&lt;/String&gt;</v>
      </c>
    </row>
    <row r="46" spans="1:8" x14ac:dyDescent="0.4">
      <c r="A46" t="str">
        <f t="shared" si="0"/>
        <v>&lt;String name=</v>
      </c>
      <c r="B46" t="str">
        <f t="shared" si="1"/>
        <v>"</v>
      </c>
      <c r="C46" t="s">
        <v>103</v>
      </c>
      <c r="D46" t="str">
        <f t="shared" si="2"/>
        <v>"</v>
      </c>
      <c r="E46" t="str">
        <f t="shared" si="3"/>
        <v>&gt;</v>
      </c>
      <c r="F46" t="s">
        <v>103</v>
      </c>
      <c r="G46" t="str">
        <f t="shared" si="4"/>
        <v>&lt;/String&gt;</v>
      </c>
      <c r="H46" t="str">
        <f t="shared" si="5"/>
        <v xml:space="preserve">    &lt;String name="Juniors"&gt;Juniors&lt;/String&gt;</v>
      </c>
    </row>
    <row r="47" spans="1:8" x14ac:dyDescent="0.4">
      <c r="A47" t="str">
        <f t="shared" si="0"/>
        <v>&lt;String name=</v>
      </c>
      <c r="B47" t="str">
        <f t="shared" si="1"/>
        <v>"</v>
      </c>
      <c r="C47" t="s">
        <v>104</v>
      </c>
      <c r="D47" t="str">
        <f t="shared" si="2"/>
        <v>"</v>
      </c>
      <c r="E47" t="str">
        <f t="shared" si="3"/>
        <v>&gt;</v>
      </c>
      <c r="F47" t="s">
        <v>107</v>
      </c>
      <c r="G47" t="str">
        <f t="shared" si="4"/>
        <v>&lt;/String&gt;</v>
      </c>
      <c r="H47" t="str">
        <f t="shared" si="5"/>
        <v xml:space="preserve">    &lt;String name="Seniors"&gt;Les aînés&lt;/String&gt;</v>
      </c>
    </row>
    <row r="48" spans="1:8" x14ac:dyDescent="0.4">
      <c r="A48" t="str">
        <f t="shared" si="0"/>
        <v>&lt;String name=</v>
      </c>
      <c r="B48" t="str">
        <f t="shared" si="1"/>
        <v>"</v>
      </c>
      <c r="C48" t="s">
        <v>40</v>
      </c>
      <c r="D48" t="str">
        <f t="shared" si="2"/>
        <v>"</v>
      </c>
      <c r="E48" t="str">
        <f t="shared" si="3"/>
        <v>&gt;</v>
      </c>
      <c r="F48" t="s">
        <v>89</v>
      </c>
      <c r="G48" t="str">
        <f t="shared" si="4"/>
        <v>&lt;/String&gt;</v>
      </c>
      <c r="H48" t="str">
        <f t="shared" si="5"/>
        <v xml:space="preserve">    &lt;String name="Elimination"&gt;Élimination&lt;/String&gt;</v>
      </c>
    </row>
    <row r="49" spans="1:8" x14ac:dyDescent="0.4">
      <c r="A49" t="str">
        <f t="shared" si="0"/>
        <v>&lt;String name=</v>
      </c>
      <c r="B49" t="str">
        <f t="shared" si="1"/>
        <v>"</v>
      </c>
      <c r="C49" t="s">
        <v>41</v>
      </c>
      <c r="D49" t="str">
        <f t="shared" si="2"/>
        <v>"</v>
      </c>
      <c r="E49" t="str">
        <f t="shared" si="3"/>
        <v>&gt;</v>
      </c>
      <c r="F49" t="s">
        <v>90</v>
      </c>
      <c r="G49" t="str">
        <f t="shared" si="4"/>
        <v>&lt;/String&gt;</v>
      </c>
      <c r="H49" t="str">
        <f t="shared" si="5"/>
        <v xml:space="preserve">    &lt;String name="Pool Final"&gt;Piscine finale&lt;/String&gt;</v>
      </c>
    </row>
    <row r="50" spans="1:8" x14ac:dyDescent="0.4">
      <c r="A50" t="str">
        <f t="shared" si="0"/>
        <v>&lt;String name=</v>
      </c>
      <c r="B50" t="str">
        <f t="shared" si="1"/>
        <v>"</v>
      </c>
      <c r="C50" t="s">
        <v>42</v>
      </c>
      <c r="D50" t="str">
        <f t="shared" si="2"/>
        <v>"</v>
      </c>
      <c r="E50" t="str">
        <f t="shared" si="3"/>
        <v>&gt;</v>
      </c>
      <c r="F50" t="s">
        <v>91</v>
      </c>
      <c r="G50" t="str">
        <f t="shared" si="4"/>
        <v>&lt;/String&gt;</v>
      </c>
      <c r="H50" t="str">
        <f t="shared" si="5"/>
        <v xml:space="preserve">    &lt;String name="Repecharge"&gt;Recharger&lt;/String&gt;</v>
      </c>
    </row>
    <row r="51" spans="1:8" x14ac:dyDescent="0.4">
      <c r="A51" t="str">
        <f t="shared" si="0"/>
        <v>&lt;String name=</v>
      </c>
      <c r="B51" t="str">
        <f t="shared" si="1"/>
        <v>"</v>
      </c>
      <c r="C51" t="s">
        <v>43</v>
      </c>
      <c r="D51" t="str">
        <f t="shared" si="2"/>
        <v>"</v>
      </c>
      <c r="E51" t="str">
        <f t="shared" si="3"/>
        <v>&gt;</v>
      </c>
      <c r="F51" t="s">
        <v>92</v>
      </c>
      <c r="G51" t="str">
        <f t="shared" si="4"/>
        <v>&lt;/String&gt;</v>
      </c>
      <c r="H51" t="str">
        <f t="shared" si="5"/>
        <v xml:space="preserve">    &lt;String name="Semi Final"&gt;Demi-finale&lt;/String&gt;</v>
      </c>
    </row>
    <row r="52" spans="1:8" x14ac:dyDescent="0.4">
      <c r="A52" t="str">
        <f t="shared" si="0"/>
        <v>&lt;String name=</v>
      </c>
      <c r="B52" t="str">
        <f t="shared" si="1"/>
        <v>"</v>
      </c>
      <c r="C52" t="s">
        <v>44</v>
      </c>
      <c r="D52" t="str">
        <f t="shared" si="2"/>
        <v>"</v>
      </c>
      <c r="E52" t="str">
        <f t="shared" si="3"/>
        <v>&gt;</v>
      </c>
      <c r="F52" t="s">
        <v>44</v>
      </c>
      <c r="G52" t="str">
        <f t="shared" si="4"/>
        <v>&lt;/String&gt;</v>
      </c>
      <c r="H52" t="str">
        <f t="shared" si="5"/>
        <v xml:space="preserve">    &lt;String name="Bronze"&gt;Bronze&lt;/String&gt;</v>
      </c>
    </row>
    <row r="53" spans="1:8" x14ac:dyDescent="0.4">
      <c r="A53" t="str">
        <f t="shared" si="0"/>
        <v>&lt;String name=</v>
      </c>
      <c r="B53" t="str">
        <f t="shared" si="1"/>
        <v>"</v>
      </c>
      <c r="C53" t="s">
        <v>45</v>
      </c>
      <c r="D53" t="str">
        <f t="shared" si="2"/>
        <v>"</v>
      </c>
      <c r="E53" t="str">
        <f t="shared" si="3"/>
        <v>&gt;</v>
      </c>
      <c r="F53" t="s">
        <v>45</v>
      </c>
      <c r="G53" t="str">
        <f t="shared" si="4"/>
        <v>&lt;/String&gt;</v>
      </c>
      <c r="H53" t="str">
        <f t="shared" si="5"/>
        <v xml:space="preserve">    &lt;String name="Final"&gt;Final&lt;/String&gt;</v>
      </c>
    </row>
    <row r="54" spans="1:8" x14ac:dyDescent="0.4">
      <c r="A54" t="str">
        <f t="shared" si="0"/>
        <v>&lt;String name=</v>
      </c>
      <c r="B54" t="str">
        <f t="shared" si="1"/>
        <v>"</v>
      </c>
      <c r="C54" t="s">
        <v>46</v>
      </c>
      <c r="D54" t="str">
        <f t="shared" si="2"/>
        <v>"</v>
      </c>
      <c r="E54" t="str">
        <f t="shared" si="3"/>
        <v>&gt;</v>
      </c>
      <c r="F54" t="s">
        <v>46</v>
      </c>
      <c r="G54" t="str">
        <f t="shared" si="4"/>
        <v>&lt;/String&gt;</v>
      </c>
      <c r="H54" t="str">
        <f t="shared" si="5"/>
        <v xml:space="preserve">    &lt;String name="Logo"&gt;Logo&lt;/String&gt;</v>
      </c>
    </row>
    <row r="55" spans="1:8" x14ac:dyDescent="0.4">
      <c r="A55" t="str">
        <f t="shared" si="0"/>
        <v>&lt;String name=</v>
      </c>
      <c r="B55" t="str">
        <f t="shared" si="1"/>
        <v>"</v>
      </c>
      <c r="C55" t="s">
        <v>47</v>
      </c>
      <c r="D55" t="str">
        <f t="shared" si="2"/>
        <v>"</v>
      </c>
      <c r="E55" t="str">
        <f t="shared" si="3"/>
        <v>&gt;</v>
      </c>
      <c r="F55" t="s">
        <v>93</v>
      </c>
      <c r="G55" t="str">
        <f t="shared" si="4"/>
        <v>&lt;/String&gt;</v>
      </c>
      <c r="H55" t="str">
        <f t="shared" si="5"/>
        <v xml:space="preserve">    &lt;String name="Contest Info"&gt;Informations sur le concours&lt;/String&gt;</v>
      </c>
    </row>
    <row r="56" spans="1:8" x14ac:dyDescent="0.4">
      <c r="A56" t="str">
        <f t="shared" si="0"/>
        <v>&lt;String name=</v>
      </c>
      <c r="B56" t="str">
        <f t="shared" si="1"/>
        <v>"</v>
      </c>
      <c r="C56" t="s">
        <v>48</v>
      </c>
      <c r="D56" t="str">
        <f t="shared" si="2"/>
        <v>"</v>
      </c>
      <c r="E56" t="str">
        <f t="shared" si="3"/>
        <v>&gt;</v>
      </c>
      <c r="F56" t="s">
        <v>94</v>
      </c>
      <c r="G56" t="str">
        <f t="shared" si="4"/>
        <v>&lt;/String&gt;</v>
      </c>
      <c r="H56" t="str">
        <f t="shared" si="5"/>
        <v xml:space="preserve">    &lt;String name="White Info"&gt;Info Blanc&lt;/String&gt;</v>
      </c>
    </row>
    <row r="57" spans="1:8" x14ac:dyDescent="0.4">
      <c r="A57" t="str">
        <f t="shared" si="0"/>
        <v>&lt;String name=</v>
      </c>
      <c r="B57" t="str">
        <f t="shared" si="1"/>
        <v>"</v>
      </c>
      <c r="C57" t="s">
        <v>49</v>
      </c>
      <c r="D57" t="str">
        <f t="shared" si="2"/>
        <v>"</v>
      </c>
      <c r="E57" t="str">
        <f t="shared" si="3"/>
        <v>&gt;</v>
      </c>
      <c r="F57" t="s">
        <v>95</v>
      </c>
      <c r="G57" t="str">
        <f t="shared" si="4"/>
        <v>&lt;/String&gt;</v>
      </c>
      <c r="H57" t="str">
        <f t="shared" si="5"/>
        <v xml:space="preserve">    &lt;String name="Blue Info"&gt;Info bleue&lt;/String&gt;</v>
      </c>
    </row>
    <row r="58" spans="1:8" x14ac:dyDescent="0.4">
      <c r="A58" t="str">
        <f t="shared" si="0"/>
        <v>&lt;String name=</v>
      </c>
      <c r="B58" t="str">
        <f t="shared" si="1"/>
        <v>"</v>
      </c>
      <c r="C58" t="s">
        <v>50</v>
      </c>
      <c r="D58" t="str">
        <f t="shared" si="2"/>
        <v>"</v>
      </c>
      <c r="E58" t="str">
        <f t="shared" si="3"/>
        <v>&gt;</v>
      </c>
      <c r="F58" t="s">
        <v>96</v>
      </c>
      <c r="G58" t="str">
        <f t="shared" si="4"/>
        <v>&lt;/String&gt;</v>
      </c>
      <c r="H58" t="str">
        <f t="shared" si="5"/>
        <v xml:space="preserve">    &lt;String name="Both Info"&gt;Les deux infos&lt;/String&gt;</v>
      </c>
    </row>
    <row r="59" spans="1:8" x14ac:dyDescent="0.4">
      <c r="A59" t="str">
        <f t="shared" si="0"/>
        <v>&lt;String name=</v>
      </c>
      <c r="B59" t="str">
        <f t="shared" si="1"/>
        <v>"</v>
      </c>
      <c r="C59" t="s">
        <v>51</v>
      </c>
      <c r="D59" t="str">
        <f t="shared" si="2"/>
        <v>"</v>
      </c>
      <c r="E59" t="str">
        <f t="shared" si="3"/>
        <v>&gt;</v>
      </c>
      <c r="F59" t="s">
        <v>97</v>
      </c>
      <c r="G59" t="str">
        <f t="shared" si="4"/>
        <v>&lt;/String&gt;</v>
      </c>
      <c r="H59" t="str">
        <f t="shared" si="5"/>
        <v xml:space="preserve">    &lt;String name="Scoreboard"&gt;Tableau de bord&lt;/String&gt;</v>
      </c>
    </row>
    <row r="60" spans="1:8" x14ac:dyDescent="0.4">
      <c r="A60" t="str">
        <f t="shared" si="0"/>
        <v>&lt;String name=</v>
      </c>
      <c r="B60" t="str">
        <f t="shared" si="1"/>
        <v>"</v>
      </c>
      <c r="C60" t="s">
        <v>52</v>
      </c>
      <c r="D60" t="str">
        <f t="shared" si="2"/>
        <v>"</v>
      </c>
      <c r="E60" t="str">
        <f t="shared" si="3"/>
        <v>&gt;</v>
      </c>
      <c r="F60" t="s">
        <v>98</v>
      </c>
      <c r="G60" t="str">
        <f t="shared" si="4"/>
        <v>&lt;/String&gt;</v>
      </c>
      <c r="H60" t="str">
        <f t="shared" si="5"/>
        <v xml:space="preserve">    &lt;String name="Stopped"&gt;Arrêté&lt;/String&gt;</v>
      </c>
    </row>
    <row r="61" spans="1:8" x14ac:dyDescent="0.4">
      <c r="A61" t="str">
        <f t="shared" si="0"/>
        <v>&lt;String name=</v>
      </c>
      <c r="B61" t="str">
        <f t="shared" si="1"/>
        <v>"</v>
      </c>
      <c r="C61" t="s">
        <v>53</v>
      </c>
      <c r="D61" t="str">
        <f t="shared" si="2"/>
        <v>"</v>
      </c>
      <c r="E61" t="str">
        <f t="shared" si="3"/>
        <v>&gt;</v>
      </c>
      <c r="F61" t="s">
        <v>99</v>
      </c>
      <c r="G61" t="str">
        <f t="shared" si="4"/>
        <v>&lt;/String&gt;</v>
      </c>
      <c r="H61" t="str">
        <f t="shared" si="5"/>
        <v xml:space="preserve">    &lt;String name="Running"&gt;Fonctionnement&lt;/String&gt;</v>
      </c>
    </row>
    <row r="62" spans="1:8" x14ac:dyDescent="0.4">
      <c r="H62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German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Robinson</dc:creator>
  <cp:lastModifiedBy>Dave Robinson</cp:lastModifiedBy>
  <dcterms:created xsi:type="dcterms:W3CDTF">2018-12-21T13:40:50Z</dcterms:created>
  <dcterms:modified xsi:type="dcterms:W3CDTF">2018-12-22T13:20:44Z</dcterms:modified>
</cp:coreProperties>
</file>